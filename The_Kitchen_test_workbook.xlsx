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mstromj\Downloads\"/>
    </mc:Choice>
  </mc:AlternateContent>
  <xr:revisionPtr revIDLastSave="0" documentId="13_ncr:1_{69F61E56-D3D6-496D-8909-7E2F16BF96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entory" sheetId="1" r:id="rId1"/>
    <sheet name="Purchase History" sheetId="2" r:id="rId2"/>
    <sheet name="P&amp;L" sheetId="3" r:id="rId3"/>
    <sheet name="Sales Log" sheetId="4" r:id="rId4"/>
    <sheet name="Buy-Trade Log" sheetId="5" r:id="rId5"/>
    <sheet name="Inventory Snapshot" sheetId="6" r:id="rId6"/>
    <sheet name="Instru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43" i="3"/>
  <c r="B42" i="3"/>
  <c r="B41" i="3"/>
  <c r="B44" i="3" s="1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7" i="3"/>
  <c r="L6" i="3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<sst xmlns="http://schemas.openxmlformats.org/spreadsheetml/2006/main" count="1113" uniqueCount="725">
  <si>
    <t>THE KITCHEN TCG — INVENTORY (Source of Truth)</t>
  </si>
  <si>
    <t>Publish this tab as CSV and sync into the app. Includes avg purchase price for P&amp;L reference.</t>
  </si>
  <si>
    <t>product_name</t>
  </si>
  <si>
    <t>set_name</t>
  </si>
  <si>
    <t>short_name</t>
  </si>
  <si>
    <t>item_type</t>
  </si>
  <si>
    <t>quantity</t>
  </si>
  <si>
    <t>sticker_price</t>
  </si>
  <si>
    <t>avg_purchase_price</t>
  </si>
  <si>
    <t>image_url</t>
  </si>
  <si>
    <t>tcgplayer_url</t>
  </si>
  <si>
    <t>alt_url</t>
  </si>
  <si>
    <t>cardladder_url</t>
  </si>
  <si>
    <t>Full product name</t>
  </si>
  <si>
    <t>Set / series</t>
  </si>
  <si>
    <t>Short name shown in app</t>
  </si>
  <si>
    <t>Sealed | Singles | Graded</t>
  </si>
  <si>
    <t>Units in stock</t>
  </si>
  <si>
    <t>Sell price (auto-loads to app)</t>
  </si>
  <si>
    <t>Avg cost from Purchase History tab</t>
  </si>
  <si>
    <t>Direct image URL</t>
  </si>
  <si>
    <t>TCGPlayer URL — Sealed &amp; Singles</t>
  </si>
  <si>
    <t>Alt.xyz URL — Graded only</t>
  </si>
  <si>
    <t>Card Ladder URL — Graded only</t>
  </si>
  <si>
    <t>★ Gold=all  Blue=Sealed/Singles  Amber=Graded  Green=calculated from Purchase History (do not edit manually)</t>
  </si>
  <si>
    <t>Scarlet &amp; Violet 151 Elite Trainer Box</t>
  </si>
  <si>
    <t>Scarlet &amp; Violet 151</t>
  </si>
  <si>
    <t>151 ETB</t>
  </si>
  <si>
    <t>Sealed</t>
  </si>
  <si>
    <t>https://tcgplayer-cdn.tcgplayer.com/product/501999_in_1000x1000.jpg</t>
  </si>
  <si>
    <t>Evolving Skies Booster Box</t>
  </si>
  <si>
    <t>Evolving Skies</t>
  </si>
  <si>
    <t>Evolving Skies Box</t>
  </si>
  <si>
    <t>https://tcgplayer-cdn.tcgplayer.com/product/242436_in_1000x1000.jpg</t>
  </si>
  <si>
    <t>Charizard ex 199/165 SIR</t>
  </si>
  <si>
    <t>Zard 151 SIR</t>
  </si>
  <si>
    <t>Singles</t>
  </si>
  <si>
    <t>https://product-images.tcgplayer.com/fit-in/437x437/512722.jpg</t>
  </si>
  <si>
    <t>https://www.tcgplayer.com/product/512722</t>
  </si>
  <si>
    <t>2023 Pokemon Van Gogh Pikachu Grey Felt Hat #085</t>
  </si>
  <si>
    <t>Pikachu Grey Hat PSA 9</t>
  </si>
  <si>
    <t>Graded</t>
  </si>
  <si>
    <t>https://alt-images.b-cdn.net/external/ebay/live/306817474273_0.jpg?height=531&amp;width=324&amp;quality=50</t>
  </si>
  <si>
    <t>2018 Pokemon Japanese Psyduck Munch #286SMP</t>
  </si>
  <si>
    <t>Psyduck Munch PSA 8</t>
  </si>
  <si>
    <t>PURCHASE HISTORY — Manual entry of all items bought (for P&amp;L cost basis)</t>
  </si>
  <si>
    <t>Add a row for every purchase. Use the same short_name as the Inventory tab. The P&amp;L tab uses FIFO order (earliest date first) to calculate cost of goods sold.</t>
  </si>
  <si>
    <t>date</t>
  </si>
  <si>
    <t>unit_cost</t>
  </si>
  <si>
    <t>total_cost</t>
  </si>
  <si>
    <t>notes</t>
  </si>
  <si>
    <t>Date purchased (MM/DD/YY)</t>
  </si>
  <si>
    <t>Must match Inventory short_name exactly</t>
  </si>
  <si>
    <t>Full name (reference only)</t>
  </si>
  <si>
    <t>Units purchased</t>
  </si>
  <si>
    <t>Price paid per unit ($)</t>
  </si>
  <si>
    <t>Seller, event, condition notes</t>
  </si>
  <si>
    <t>01/01/26</t>
  </si>
  <si>
    <t>Initial stock</t>
  </si>
  <si>
    <t>Initial stock NM</t>
  </si>
  <si>
    <t>P&amp;L STATEMENT — FIFO Cost Basis (paste Sales Log data below, then update formulas)</t>
  </si>
  <si>
    <t>Paste your Sales Log export here (columns A-K match the Sales CSV export). Column L calculates FIFO profit using Purchase History. Update the VLOOKUP range as you add purchase data.</t>
  </si>
  <si>
    <t>HOW TO USE: Export Sales CSV from app → paste starting at row 5 → Column L auto-calculates profit per line item using FIFO avg cost from Purchase History</t>
  </si>
  <si>
    <t>Transaction #</t>
  </si>
  <si>
    <t>Date</t>
  </si>
  <si>
    <t>Time</t>
  </si>
  <si>
    <t>Item</t>
  </si>
  <si>
    <t>Qty</t>
  </si>
  <si>
    <t>Unit Price</t>
  </si>
  <si>
    <t>Item Discount</t>
  </si>
  <si>
    <t>Line Total</t>
  </si>
  <si>
    <t>Cart Discount</t>
  </si>
  <si>
    <t>Grand Total</t>
  </si>
  <si>
    <t>Payment</t>
  </si>
  <si>
    <t>Profit / Loss</t>
  </si>
  <si>
    <t>Sale ID</t>
  </si>
  <si>
    <t>Sale date</t>
  </si>
  <si>
    <t>Sale time</t>
  </si>
  <si>
    <t>Product sold</t>
  </si>
  <si>
    <t>Units sold</t>
  </si>
  <si>
    <t>Sell price each</t>
  </si>
  <si>
    <t>Per-item disc</t>
  </si>
  <si>
    <t>Net line revenue</t>
  </si>
  <si>
    <t>Cart-level disc</t>
  </si>
  <si>
    <t>Transaction total</t>
  </si>
  <si>
    <t>Method</t>
  </si>
  <si>
    <t>FIFO profit (auto)</t>
  </si>
  <si>
    <t>032626-001</t>
  </si>
  <si>
    <t>03/26/26</t>
  </si>
  <si>
    <t>10:30 AM</t>
  </si>
  <si>
    <t>250</t>
  </si>
  <si>
    <t>Cash</t>
  </si>
  <si>
    <t>170</t>
  </si>
  <si>
    <t>[2 items]</t>
  </si>
  <si>
    <t>20</t>
  </si>
  <si>
    <t>400</t>
  </si>
  <si>
    <t>SUMMARY</t>
  </si>
  <si>
    <t>Total Revenue</t>
  </si>
  <si>
    <t>Total Discounts</t>
  </si>
  <si>
    <t>Total Cost (FIFO avg)</t>
  </si>
  <si>
    <t>Gross Profit</t>
  </si>
  <si>
    <t>SALES LOG — App syncs here via End Show</t>
  </si>
  <si>
    <t>Payment Method(s)</t>
  </si>
  <si>
    <t>App syncs here via End Show / End Day button. Also paste CSV exports here.</t>
  </si>
  <si>
    <t>BUY/TRADE LOG — App syncs here via End Show</t>
  </si>
  <si>
    <t>Type</t>
  </si>
  <si>
    <t>Value</t>
  </si>
  <si>
    <t>Price Paid</t>
  </si>
  <si>
    <t>Notes</t>
  </si>
  <si>
    <t>Total</t>
  </si>
  <si>
    <t>Credit Given</t>
  </si>
  <si>
    <t>Balance Due</t>
  </si>
  <si>
    <t>Transaction ID</t>
  </si>
  <si>
    <t>App syncs here via End Show / End Day button.</t>
  </si>
  <si>
    <t>INVENTORY SNAPSHOT — App pushes end-of-show stock levels here</t>
  </si>
  <si>
    <t>Snapshot Date</t>
  </si>
  <si>
    <t>Short Name</t>
  </si>
  <si>
    <t>Product Name</t>
  </si>
  <si>
    <t>Set</t>
  </si>
  <si>
    <t>Sticker Price</t>
  </si>
  <si>
    <t>Each End Show push appends a new snapshot. Keep historic rows to track stock over time.</t>
  </si>
  <si>
    <t>KITCHEN TCG WORKBOOK GUIDE</t>
  </si>
  <si>
    <t>SHEET: Inventory</t>
  </si>
  <si>
    <t>Master source. Fill in your products. avg_purchase_price is calculated automatically from Purchase History — do not edit that column manually. Publish this tab as CSV and sync to the app via Setup → Google Sheets Sync.</t>
  </si>
  <si>
    <t>SHEET: Purchase History</t>
  </si>
  <si>
    <t>Manual entry of every item you have bought. Use the same short_name as the Inventory tab. Add a row each time you acquire stock. The P&amp;L tab uses AVERAGEIF across all rows to calculate your average cost per item (approximation of FIFO — for true FIFO use the formula guidance below).</t>
  </si>
  <si>
    <t>SHEET: P&amp;L</t>
  </si>
  <si>
    <t>Paste your Sales Log CSV exports here. Column L auto-calculates profit per line using your average purchase cost from Purchase History. Summary section at row 40 shows totals.</t>
  </si>
  <si>
    <t>P&amp;L Formula (FIFO approx)</t>
  </si>
  <si>
    <t>The formula =H-((E)*AVERAGEIF('Purchase History'!B:B,D,'Purchase History'!E:E)) gives average cost across all purchases of that item. For strict FIFO, you would track the earliest unallocated purchase cost manually.</t>
  </si>
  <si>
    <t>SHEET: Sales Log</t>
  </si>
  <si>
    <t>Populated by app via End Show → Sync. Also paste Sales CSV exports here.</t>
  </si>
  <si>
    <t>SHEET: Buy-Trade Log</t>
  </si>
  <si>
    <t>Populated by app via End Show → Sync. Also paste Buy/Trade CSV exports.</t>
  </si>
  <si>
    <t>SHEET: Inventory Snapshot</t>
  </si>
  <si>
    <t>Populated by app via End Show → Sync. Each sync appends a new dated snapshot. Keep all rows to track stock over time.</t>
  </si>
  <si>
    <t>APP: End Show / End Day</t>
  </si>
  <si>
    <t>In the app: ⚙ Setup → End Show / End Day. Syncs all data to Sheets then clears logs. If sync fails, logs are NOT cleared. You can also clear without syncing as a fallback.</t>
  </si>
  <si>
    <t>APP: Export CSV</t>
  </si>
  <si>
    <t>In the app: ⚙ Setup → Export Data section. Downloads Sales, Inventory, and Buy/Trade as separate CSV files without clearing anything.</t>
  </si>
  <si>
    <t>APP: Sync Inventory from Sheet</t>
  </si>
  <si>
    <t>Reads your Inventory tab and loads all products + sticker prices into the app. Replaces current inventory.</t>
  </si>
  <si>
    <t>short_name MATCHING</t>
  </si>
  <si>
    <t>Purchase History short_name must exactly match Inventory short_name for P&amp;L formulas to work correctly. Case-insensitive in the app but exact in Excel/Sheets formulas.</t>
  </si>
  <si>
    <t>avg_purchase_price column</t>
  </si>
  <si>
    <t>This column in Inventory uses: =IFERROR(AVERAGEIF('Purchase History'!B:B,C2,'Purchase History'!E:E),"No purchase data"). Replace C2 with the short_name cell for each row. Copy down as you add items.</t>
  </si>
  <si>
    <t>SEED DATA NOTE</t>
  </si>
  <si>
    <t>Purchase History is pre-populated with 1/1/26 entries at 80% of your sticker price as a starting cost basis. Update these with your actual purchase prices as you know them.</t>
  </si>
  <si>
    <t>151 Pokemon Center Elite Trainer Box Case</t>
  </si>
  <si>
    <t>151 PC ETB Case</t>
  </si>
  <si>
    <t>https://tcgplayer-cdn.tcgplayer.com/product/528030_in_1000x1000.jpg</t>
  </si>
  <si>
    <t>https://www.tcgplayer.com/product/528030/pokemon-sv-scarlet-and-violet-151-151-pokemon-center-elite-trainer-box-exclusive-case?Language=English&amp;page=1</t>
  </si>
  <si>
    <t>Hidden Fates Elite Trainer Box Case</t>
  </si>
  <si>
    <t>Hidden Fates</t>
  </si>
  <si>
    <t>Hidden Fates ETB Case</t>
  </si>
  <si>
    <t>https://tcgplayer-cdn.tcgplayer.com/product/648466_in_1000x1000.jpg</t>
  </si>
  <si>
    <t>https://www.tcgplayer.com/product/648466/pokemon-hidden-fates-hidden-fates-elite-trainer-box-case?Language=English&amp;page=1</t>
  </si>
  <si>
    <t>151 Elite Trainer Box Case</t>
  </si>
  <si>
    <t>151 ETB Case</t>
  </si>
  <si>
    <t>https://tcgplayer-cdn.tcgplayer.com/product/506640_in_1000x1000.jpg</t>
  </si>
  <si>
    <t>https://www.tcgplayer.com/product/506640/pokemon-sv-scarlet-and-violet-151-151-elite-trainer-box-case?Language=English&amp;page=1</t>
  </si>
  <si>
    <t>Evolving Skies Elite Trainer Box Case</t>
  </si>
  <si>
    <t>Evolving Skies ETB Case</t>
  </si>
  <si>
    <t>https://tcgplayer-cdn.tcgplayer.com/product/243722_in_1000x1000.jpg</t>
  </si>
  <si>
    <t>https://www.tcgplayer.com/product/243722/pokemon-swsh07-evolving-skies-evolving-skies-elite-trainer-box-case?Language=English&amp;page=1</t>
  </si>
  <si>
    <t>Fusion Strike Elite Trainer Box Case</t>
  </si>
  <si>
    <t>Fusion Strike</t>
  </si>
  <si>
    <t>Fusion Strike ETB Case</t>
  </si>
  <si>
    <t>https://tcgplayer-cdn.tcgplayer.com/product/256271_in_1000x1000.jpg</t>
  </si>
  <si>
    <t>https://www.tcgplayer.com/product/256271/pokemon-swsh08-fusion-strike-fusion-strike-elite-trainer-box-case?Language=English&amp;page=1</t>
  </si>
  <si>
    <t>Paldean Fates Elite Trainer Box Case</t>
  </si>
  <si>
    <t>Paldean Fates</t>
  </si>
  <si>
    <t>Paldean Fates ETB Case</t>
  </si>
  <si>
    <t>https://tcgplayer-cdn.tcgplayer.com/product/530700_in_1000x1000.jpg</t>
  </si>
  <si>
    <t>https://www.tcgplayer.com/product/530700/pokemon-sv-paldean-fates-paldean-fates-elite-trainer-box-case?Language=English&amp;page=1</t>
  </si>
  <si>
    <t>Celebrations Elite Trainer Box Case</t>
  </si>
  <si>
    <t>Celebrations</t>
  </si>
  <si>
    <t>Celebrations ETB Case</t>
  </si>
  <si>
    <t>https://tcgplayer-cdn.tcgplayer.com/product/251895_in_1000x1000.jpg</t>
  </si>
  <si>
    <t>https://www.tcgplayer.com/product/251895/pokemon-celebrations-celebrations-elite-trainer-box-case?Language=English&amp;page=1</t>
  </si>
  <si>
    <t>Crown Zenith Elite Trainer Box Case</t>
  </si>
  <si>
    <t>Crown Zenith</t>
  </si>
  <si>
    <t>Crown Zenith ETB Case</t>
  </si>
  <si>
    <t>https://tcgplayer-cdn.tcgplayer.com/product/453471_in_1000x1000.jpg</t>
  </si>
  <si>
    <t>https://www.tcgplayer.com/product/453471/pokemon-crown-zenith-crown-zenith-elite-trainer-box-case?Language=English&amp;page=1</t>
  </si>
  <si>
    <t>https://www.tcgplayer.com/product/242436/pokemon-swsh07-evolving-skies-evolving-skies-booster-box?Language=English&amp;page=1</t>
  </si>
  <si>
    <t>Prismatic Evolutions Pokemon Center Elite Trainer Box Case</t>
  </si>
  <si>
    <t>Prismatic Evolutions</t>
  </si>
  <si>
    <t>Prismatic Evolutions PC ETB Case</t>
  </si>
  <si>
    <t>https://tcgplayer-cdn.tcgplayer.com/product/600697_in_1000x1000.jpg</t>
  </si>
  <si>
    <t>https://www.tcgplayer.com/product/600697/pokemon-sv-prismatic-evolutions-prismatic-evolutions-pokemon-center-elite-trainer-box-exclusive-case?Language=English&amp;page=1</t>
  </si>
  <si>
    <t>Crown Zenith Pokemon Center Elite Trainer Box Plus Case</t>
  </si>
  <si>
    <t>Crown Zenith PC ETB Plus Case</t>
  </si>
  <si>
    <t>https://tcgplayer-cdn.tcgplayer.com/product/454247_in_1000x1000.jpg</t>
  </si>
  <si>
    <t>https://www.tcgplayer.com/product/454247/pokemon-crown-zenith-crown-zenith-pokemon-center-elite-trainer-box-plus-case?Language=English&amp;page=1</t>
  </si>
  <si>
    <t>151 Booster Bundle Display</t>
  </si>
  <si>
    <t>https://tcgplayer-cdn.tcgplayer.com/product/513405_in_1000x1000.jpg</t>
  </si>
  <si>
    <t>https://www.tcgplayer.com/product/513405/pokemon-sv-scarlet-and-violet-151-151-booster-bundle-display?Language=English&amp;page=1</t>
  </si>
  <si>
    <t>Prismatic Evolutions Elite Trainer Box Case</t>
  </si>
  <si>
    <t>Prismatic Evolutions ETB Case</t>
  </si>
  <si>
    <t>https://tcgplayer-cdn.tcgplayer.com/product/598487_in_1000x1000.jpg</t>
  </si>
  <si>
    <t>https://www.tcgplayer.com/product/598487/pokemon-sv-prismatic-evolutions-prismatic-evolutions-elite-trainer-box-case?Language=English&amp;page=1</t>
  </si>
  <si>
    <t>Sword &amp; Shield Charizard Ultra Premium Collection Case</t>
  </si>
  <si>
    <t>Lost Origin</t>
  </si>
  <si>
    <t>Sword &amp; Shield Charizard UPC Case</t>
  </si>
  <si>
    <t>https://tcgplayer-cdn.tcgplayer.com/product/454377_in_1000x1000.jpg</t>
  </si>
  <si>
    <t>https://www.tcgplayer.com/product/454377/pokemon-swsh11-lost-origin-sword-and-shield-ultra-premium-collection-charizard-case?Language=English&amp;page=1</t>
  </si>
  <si>
    <t>Obsidian Flames Elite Trainer Box Case</t>
  </si>
  <si>
    <t>Obsidian Flames</t>
  </si>
  <si>
    <t>Obsidian Flames ETB Case</t>
  </si>
  <si>
    <t>https://tcgplayer-cdn.tcgplayer.com/product/501265_in_1000x1000.jpg</t>
  </si>
  <si>
    <t>https://www.tcgplayer.com/product/501265/pokemon-sv03-obsidian-flames-obsidian-flames-elite-trainer-box-case?Language=English&amp;page=1</t>
  </si>
  <si>
    <t>Paldea Evolved Elite Trainer Box Case</t>
  </si>
  <si>
    <t>Paldea Evolved</t>
  </si>
  <si>
    <t>Paldea Evolved ETB Case</t>
  </si>
  <si>
    <t>https://tcgplayer-cdn.tcgplayer.com/product/496911_in_1000x1000.jpg</t>
  </si>
  <si>
    <t>https://www.tcgplayer.com/product/496911/pokemon-sv02-paldea-evolved-paldea-evolved-elite-trainer-box-case?Language=English&amp;page=1</t>
  </si>
  <si>
    <t>Eevee Heroes Set Gym Box (JP)</t>
  </si>
  <si>
    <t>Eevee Heroes</t>
  </si>
  <si>
    <t>https://tcgplayer-cdn.tcgplayer.com/product/608794_in_1000x1000.jpg</t>
  </si>
  <si>
    <t>https://www.tcgplayer.com/product/608794/pokemon-japan-s6a-eevee-heroes-eevee-heroes-gym-box?Language=all&amp;page=1</t>
  </si>
  <si>
    <t>Lost Origin Elite Trainer Box Case</t>
  </si>
  <si>
    <t>Lost Origin ETB Case</t>
  </si>
  <si>
    <t>https://tcgplayer-cdn.tcgplayer.com/product/278796_in_1000x1000.jpg</t>
  </si>
  <si>
    <t>https://www.tcgplayer.com/product/278796/pokemon-swsh11-lost-origin-lost-origin-elite-trainer-box-case?Language=all&amp;page=1</t>
  </si>
  <si>
    <t>Journey Together Enhanced Booster Box Case</t>
  </si>
  <si>
    <t>Journey Together</t>
  </si>
  <si>
    <t>https://tcgplayer-cdn.tcgplayer.com/product/625583_in_1000x1000.jpg</t>
  </si>
  <si>
    <t>https://www.tcgplayer.com/product/625583/pokemon-sv09-journey-together-journey-together-enhanced-booster-box-case?Language=all&amp;page=1</t>
  </si>
  <si>
    <t>Cosmic Eclipse Elite Trainer Box</t>
  </si>
  <si>
    <t>Cosmic Eclipse</t>
  </si>
  <si>
    <t>Cosmic Eclipse ETB</t>
  </si>
  <si>
    <t>https://tcgplayer-cdn.tcgplayer.com/product/199308_in_1000x1000.jpg</t>
  </si>
  <si>
    <t>https://www.tcgplayer.com/product/199308/pokemon-sm-cosmic-eclipse-cosmic-eclipse-elite-trainer-box?Language=English&amp;page=1</t>
  </si>
  <si>
    <t>151 Pokemon Center Elite Trainer Box</t>
  </si>
  <si>
    <t>151 PC ETB</t>
  </si>
  <si>
    <t>https://www.tcgplayer.com/product/501999/pokemon-sv-scarlet-and-violet-151-151-pokemon-center-elite-trainer-box-exclusive?Language=all&amp;page=1</t>
  </si>
  <si>
    <t>Ascended Heroes Elite Trainer Box Case</t>
  </si>
  <si>
    <t>Ascended Heroes</t>
  </si>
  <si>
    <t>Ascended Heroes ETB Case</t>
  </si>
  <si>
    <t>https://tcgplayer-cdn.tcgplayer.com/product/668496_in_1000x1000.jpg</t>
  </si>
  <si>
    <t>https://www.tcgplayer.com/product/679558/pokemon-me-ascended-heroes-ascended-heroes-elite-trainer-box-case?Language=all&amp;page=1</t>
  </si>
  <si>
    <t>Paradox Rift Elite Trainer Box Case</t>
  </si>
  <si>
    <t>Paradox Rift</t>
  </si>
  <si>
    <t>Paradox Rift ETB Case</t>
  </si>
  <si>
    <t>https://tcgplayer-cdn.tcgplayer.com/product/512834_in_1000x1000.jpg</t>
  </si>
  <si>
    <t>https://www.tcgplayer.com/product/513511/pokemon-sv04-paradox-rift-paradox-rift-elite-trainer-box-case?Language=all&amp;page=1</t>
  </si>
  <si>
    <t>Silver Tempest Elite Trainer Box Case</t>
  </si>
  <si>
    <t>Silver Tempest</t>
  </si>
  <si>
    <t>Silver Tempest ETB Case</t>
  </si>
  <si>
    <t>https://tcgplayer-cdn.tcgplayer.com/product/285777_in_1000x1000.jpg</t>
  </si>
  <si>
    <t>https://www.tcgplayer.com/product/285777/pokemon-swsh12-silver-tempest-silver-tempest-elite-trainer-box-case?Language=all&amp;page=1</t>
  </si>
  <si>
    <t>Brilliant Stars Elite Trainer Box Case</t>
  </si>
  <si>
    <t>Brilliant Stars</t>
  </si>
  <si>
    <t>Brilliant Stars ETB Case</t>
  </si>
  <si>
    <t>https://tcgplayer-cdn.tcgplayer.com/product/264269_in_1000x1000.jpg</t>
  </si>
  <si>
    <t>https://www.tcgplayer.com/product/264269/pokemon-swsh09-brilliant-stars-brilliant-stars-elite-trainer-box-case?Language=all&amp;page=1</t>
  </si>
  <si>
    <t>Hidden Fates Ultra Premium Collection</t>
  </si>
  <si>
    <t>Hidden Fates UPC</t>
  </si>
  <si>
    <t>https://tcgplayer-cdn.tcgplayer.com/product/199466_in_1000x1000.jpg</t>
  </si>
  <si>
    <t>https://www.tcgplayer.com/product/199466/pokemon-hidden-fates-hidden-fates-ultra-premium-collection?page=1&amp;Language=all</t>
  </si>
  <si>
    <t>Black Bolt Elite Trainer Box Case</t>
  </si>
  <si>
    <t>Black Bolt</t>
  </si>
  <si>
    <t>Black Bolt ETB Case</t>
  </si>
  <si>
    <t>https://tcgplayer-cdn.tcgplayer.com/product/630690_in_1000x1000.jpg</t>
  </si>
  <si>
    <t>https://www.tcgplayer.com/product/630690/pokemon-sv-black-bolt-black-bolt-elite-trainer-box-case?Language=all&amp;page=1</t>
  </si>
  <si>
    <t>Lost Origin Pokemon Center Elite Trainer Box Case</t>
  </si>
  <si>
    <t>Lost Origin PC ETB Case</t>
  </si>
  <si>
    <t>https://tcgplayer-cdn.tcgplayer.com/product/277336_in_1000x1000.jpg</t>
  </si>
  <si>
    <t>https://www.tcgplayer.com/product/652759/pokemon-swsh11-lost-origin-lost-origin-pokemon-center-elite-trainer-box-case-exclusive?Language=all&amp;page=1</t>
  </si>
  <si>
    <t>White Flare Elite Trainer Box Case</t>
  </si>
  <si>
    <t>White Flare</t>
  </si>
  <si>
    <t>White Flare ETB Case</t>
  </si>
  <si>
    <t>https://tcgplayer-cdn.tcgplayer.com/product/630693_in_1000x1000.jpg</t>
  </si>
  <si>
    <t>https://www.tcgplayer.com/product/630693/pokemon-sv-white-flare-white-flare-elite-trainer-box-case?Language=all&amp;page=1</t>
  </si>
  <si>
    <t>Phantasmal Flames Elite Trainer Box Case</t>
  </si>
  <si>
    <t>Phantasmal Flames</t>
  </si>
  <si>
    <t>Phantasmal Flames ETB Case</t>
  </si>
  <si>
    <t>https://tcgplayer-cdn.tcgplayer.com/product/654170_in_1000x1000.jpg</t>
  </si>
  <si>
    <t>https://www.tcgplayer.com/product/654170/pokemon-me02-phantasmal-flames-phantasmal-flames-elite-trainer-box-case?Language=all&amp;page=1</t>
  </si>
  <si>
    <t>Shining Legends Elite Trainer Box</t>
  </si>
  <si>
    <t>Shining Legends</t>
  </si>
  <si>
    <t>Shining Legends ETB</t>
  </si>
  <si>
    <t>https://tcgplayer-cdn.tcgplayer.com/product/145847_in_1000x1000.jpg</t>
  </si>
  <si>
    <t>https://www.tcgplayer.com/product/145847/pokemon-shining-legends-shining-legends-elite-trainer-box?Language=English&amp;page=1</t>
  </si>
  <si>
    <t>151 Ultra-Premium Collection</t>
  </si>
  <si>
    <t>151 UPC</t>
  </si>
  <si>
    <t>https://tcgplayer-cdn.tcgplayer.com/product/502005_in_1000x1000.jpg</t>
  </si>
  <si>
    <t>https://www.tcgplayer.com/product/502005/pokemon-sv-scarlet-and-violet-151-151-ultra-premium-collection?Language=English&amp;page=1</t>
  </si>
  <si>
    <t>Stellar Crown Elite Trainer Box Case</t>
  </si>
  <si>
    <t>Stellar Crown</t>
  </si>
  <si>
    <t>Stellar Crown ETB Case</t>
  </si>
  <si>
    <t>https://tcgplayer-cdn.tcgplayer.com/product/559102_in_1000x1000.jpg</t>
  </si>
  <si>
    <t>https://www.tcgplayer.com/product/559102/pokemon-sv07-stellar-crown-stellar-crown-elite-trainer-box-case?Language=all&amp;page=1</t>
  </si>
  <si>
    <t>Mega Evolution Elite Trainer Box Case</t>
  </si>
  <si>
    <t>Mega Evolution</t>
  </si>
  <si>
    <t>Mega Evolution ETB Case</t>
  </si>
  <si>
    <t>https://tcgplayer-cdn.tcgplayer.com/product/648394_in_1000x1000.jpg</t>
  </si>
  <si>
    <t>https://www.tcgplayer.com/product/644727/pokemon-me01-mega-evolution-mega-evolution-elite-trainer-box-case?Language=all&amp;page=1</t>
  </si>
  <si>
    <t>Stellar Crown Pokemon Center Elite Trainer Box Case</t>
  </si>
  <si>
    <t>Stellar Crown PC ETB Case</t>
  </si>
  <si>
    <t>https://tcgplayer-cdn.tcgplayer.com/product/557363_in_1000x1000.jpg</t>
  </si>
  <si>
    <t>https://www.tcgplayer.com/product/557363/pokemon-sv07-stellar-crown-stellar-crown-pokemon-center-elite-trainer-box-exclusive-case?Language=all&amp;page=1</t>
  </si>
  <si>
    <t>Shrouded Fable Elite Trainer Box Case</t>
  </si>
  <si>
    <t>Shrouded Fable</t>
  </si>
  <si>
    <t>Shrouded Fable ETB Case</t>
  </si>
  <si>
    <t>https://tcgplayer-cdn.tcgplayer.com/product/553099_in_1000x1000.jpg</t>
  </si>
  <si>
    <t>https://www.tcgplayer.com/product/553099/pokemon-sv-shrouded-fable-shrouded-fable-elite-trainer-box-case?Language=all&amp;page=1</t>
  </si>
  <si>
    <t>Twilight Masquerade Elite Trainer Box Case</t>
  </si>
  <si>
    <t>Twilight Masquerade</t>
  </si>
  <si>
    <t>Twilight Masquerade ETB Case</t>
  </si>
  <si>
    <t>https://tcgplayer-cdn.tcgplayer.com/product/544385_in_1000x1000.jpg</t>
  </si>
  <si>
    <t>https://www.tcgplayer.com/product/544385/pokemon-sv06-twilight-masquerade-twilight-masquerade-elite-trainer-box-case?Language=all&amp;page=1</t>
  </si>
  <si>
    <t>Mega Charizard X ex Ultra Premium Collection Case</t>
  </si>
  <si>
    <t>Miscellaneous Cards &amp; Products</t>
  </si>
  <si>
    <t>Mega Charizard X ex UPC Case</t>
  </si>
  <si>
    <t>https://tcgplayer-cdn.tcgplayer.com/product/654213_in_1000x1000.jpg</t>
  </si>
  <si>
    <t>https://www.tcgplayer.com/product/664895/pokemon-miscellaneous-cards-and-products-mega-charizard-x-ex-ultra-premium-collection-case?Language=all&amp;page=1</t>
  </si>
  <si>
    <t>Twilight Masquerade Pokemon Center Elite Trainer Box Case</t>
  </si>
  <si>
    <t>Twilight Masquerade PC ETB Case</t>
  </si>
  <si>
    <t>https://tcgplayer-cdn.tcgplayer.com/product/549491_in_1000x1000.jpg</t>
  </si>
  <si>
    <t>https://www.tcgplayer.com/product/549491/pokemon-sv06-twilight-masquerade-twilight-masquerade-pokemon-center-elite-trainer-box-exclusive-case?Language=all&amp;page=1</t>
  </si>
  <si>
    <t>XY Evolutions Elite Trainer Box [Mega Charizard Y]</t>
  </si>
  <si>
    <t>Evolutions</t>
  </si>
  <si>
    <t>XY Evolutions ETB [Mega Charizard Y]</t>
  </si>
  <si>
    <t>https://tcgplayer-cdn.tcgplayer.com/product/123447_in_1000x1000.jpg</t>
  </si>
  <si>
    <t>https://www.tcgplayer.com/product/123447/pokemon-xy-evolutions-xy-evolutions-elite-trainer-box-mega-charizard-y?Language=all&amp;page=1</t>
  </si>
  <si>
    <t>151 Elite Trainer Box</t>
  </si>
  <si>
    <t>https://tcgplayer-cdn.tcgplayer.com/product/503313_in_1000x1000.jpg</t>
  </si>
  <si>
    <t>https://www.tcgplayer.com/product/503313/pokemon-sv-scarlet-and-violet-151-151-elite-trainer-box?Language=all&amp;page=1</t>
  </si>
  <si>
    <t>Prismatic Evolutions Pokemon Center Elite Trainer Box</t>
  </si>
  <si>
    <t>Prismatic Evolutions PC ETB</t>
  </si>
  <si>
    <t>https://tcgplayer-cdn.tcgplayer.com/product/593324_in_1000x1000.jpg</t>
  </si>
  <si>
    <t>https://www.tcgplayer.com/product/593324/pokemon-sv-prismatic-evolutions-prismatic-evolutions-pokemon-center-elite-trainer-box-exclusive?Language=all&amp;page=1</t>
  </si>
  <si>
    <t>XY Evolutions Elite Trainer Box [Mega Blastoise]</t>
  </si>
  <si>
    <t>XY Evolutions ETB [Mega Blastoise]</t>
  </si>
  <si>
    <t>https://tcgplayer-cdn.tcgplayer.com/product/123448_in_1000x1000.jpg</t>
  </si>
  <si>
    <t>https://www.tcgplayer.com/product/123448/pokemon-xy-evolutions-xy-evolutions-elite-trainer-box-mega-blastoise?Language=all&amp;page=1</t>
  </si>
  <si>
    <t>Mythical Collection [Magearna]</t>
  </si>
  <si>
    <t>https://tcgplayer-cdn.tcgplayer.com/product/127179_in_1000x1000.jpg</t>
  </si>
  <si>
    <t>https://www.tcgplayer.com/product/127179/pokemon-xy-evolutions-mythical-collection-magearna?Language=all&amp;page=1</t>
  </si>
  <si>
    <t>Chilling Reign Booster Box</t>
  </si>
  <si>
    <t>Chilling Reign</t>
  </si>
  <si>
    <t>https://tcgplayer-cdn.tcgplayer.com/product/236258_in_1000x1000.jpg</t>
  </si>
  <si>
    <t>https://www.tcgplayer.com/product/236258/pokemon-swsh06-chilling-reign-chilling-reign-booster-box?Language=all&amp;page=1</t>
  </si>
  <si>
    <t>Sword &amp; Shield Charizard Ultra Premium Collection</t>
  </si>
  <si>
    <t>Sword &amp; Shield Charizard UPC</t>
  </si>
  <si>
    <t>https://tcgplayer-cdn.tcgplayer.com/product/282401_in_1000x1000.jpg</t>
  </si>
  <si>
    <t>https://www.tcgplayer.com/product/282401/pokemon-swsh11-lost-origin-sword-and-shield-ultra-premium-collection-charizard?Language=English&amp;page=1</t>
  </si>
  <si>
    <t>Celebrations Pokemon Center Elite Trainer Box</t>
  </si>
  <si>
    <t>Celebrations PC ETB</t>
  </si>
  <si>
    <t>https://tcgplayer-cdn.tcgplayer.com/product/251199_in_1000x1000.jpg</t>
  </si>
  <si>
    <t>https://www.tcgplayer.com/product/251199/pokemon-celebrations-celebrations-pokemon-center-elite-trainer-box-exclusive?Language=all&amp;page=1</t>
  </si>
  <si>
    <t>Evolving Skies Elite Trainer Box [Flareon/Jolteon/Umbreon/Leafeon]</t>
  </si>
  <si>
    <t>Evolving Skies ETB [Flareon/Jolteon/Umbreon/Leafeon]</t>
  </si>
  <si>
    <t>https://tcgplayer-cdn.tcgplayer.com/product/242434_in_1000x1000.jpg</t>
  </si>
  <si>
    <t>https://www.tcgplayer.com/product/242434/pokemon-swsh07-evolving-skies-evolving-skies-elite-trainer-box-flareon-jolteon-umbreon-leafeon?Language=all&amp;page=1</t>
  </si>
  <si>
    <t>Kanto Power Collection [Mewtwo EX/Slowbro EX]</t>
  </si>
  <si>
    <t>https://tcgplayer-cdn.tcgplayer.com/product/222988_in_1000x1000.jpg</t>
  </si>
  <si>
    <t>https://www.tcgplayer.com/product/222988/pokemon-xy-evolutions-kanto-power-collection-mewtwo-ex-slowbro-ex?Language=all&amp;page=1</t>
  </si>
  <si>
    <t>Destined Rivals Pokemon Center Elite Trainer Box</t>
  </si>
  <si>
    <t>Destined Rivals</t>
  </si>
  <si>
    <t>Destined Rivals PC ETB</t>
  </si>
  <si>
    <t>https://tcgplayer-cdn.tcgplayer.com/product/624675_in_1000x1000.jpg</t>
  </si>
  <si>
    <t>https://www.tcgplayer.com/product/624675/pokemon-sv10-destined-rivals-destined-rivals-pokemon-center-elite-trainer-box-exclusive?Language=all&amp;page=1</t>
  </si>
  <si>
    <t>Kanto Power Collection [Dragonite EX/Pidgeot EX]</t>
  </si>
  <si>
    <t>https://tcgplayer-cdn.tcgplayer.com/product/222989_in_1000x1000.jpg</t>
  </si>
  <si>
    <t>https://www.tcgplayer.com/product/222989/pokemon-xy-evolutions-kanto-power-collection-dragonite-ex-pidgeot-ex?Language=all&amp;page=1</t>
  </si>
  <si>
    <t>Hidden Fates Elite Trainer Box</t>
  </si>
  <si>
    <t>Hidden Fates ETB</t>
  </si>
  <si>
    <t>https://tcgplayer-cdn.tcgplayer.com/product/194729_in_1000x1000.jpg</t>
  </si>
  <si>
    <t>https://www.tcgplayer.com/product/194729/pokemon-hidden-fates-hidden-fates-elite-trainer-box?Language=all&amp;page=1</t>
  </si>
  <si>
    <t>Precious Collector Box (JP)</t>
  </si>
  <si>
    <t>https://tcgplayer-cdn.tcgplayer.com/product/638934_in_1000x1000.jpg</t>
  </si>
  <si>
    <t>https://www.tcgplayer.com/product/638934/pokemon-japan-s-p-sword-and-shield-promos-sword-and-shield-precious-collector-box?Language=all&amp;page=1</t>
  </si>
  <si>
    <t>Power Partnership Tin [Lucario &amp; Melmetal GX]</t>
  </si>
  <si>
    <t>Unified Minds</t>
  </si>
  <si>
    <t>https://tcgplayer-cdn.tcgplayer.com/product/194736_in_1000x1000.jpg</t>
  </si>
  <si>
    <t>https://www.tcgplayer.com/product/194736/pokemon-sm-unified-minds-power-partnership-tin-lucario-and-melmetal-gx?Language=all&amp;page=1</t>
  </si>
  <si>
    <t>Prismatic Evolutions Super Premium Collection</t>
  </si>
  <si>
    <t>https://tcgplayer-cdn.tcgplayer.com/product/622770_in_1000x1000.jpg</t>
  </si>
  <si>
    <t>https://www.tcgplayer.com/product/622770/pokemon-sv-prismatic-evolutions-prismatic-evolutions-super-premium-collection?Language=all&amp;page=1</t>
  </si>
  <si>
    <t>Paldean Fates Elite Trainer Box</t>
  </si>
  <si>
    <t>Paldean Fates ETB</t>
  </si>
  <si>
    <t>https://tcgplayer-cdn.tcgplayer.com/product/528040_in_1000x1000.jpg</t>
  </si>
  <si>
    <t>https://www.tcgplayer.com/product/528040/pokemon-sv-paldean-fates-paldean-fates-elite-trainer-box?Language=all&amp;page=1</t>
  </si>
  <si>
    <t>Mythical Collection [Volcanion]</t>
  </si>
  <si>
    <t>https://tcgplayer-cdn.tcgplayer.com/product/127180_in_1000x1000.jpg</t>
  </si>
  <si>
    <t>https://www.tcgplayer.com/product/127180/pokemon-xy-evolutions-mythical-collection-volcanion?Language=all&amp;page=1</t>
  </si>
  <si>
    <t>Vaporeon VMAX Premium Collection</t>
  </si>
  <si>
    <t>https://tcgplayer-cdn.tcgplayer.com/product/249689_in_1000x1000.jpg</t>
  </si>
  <si>
    <t>https://www.tcgplayer.com/product/249689/pokemon-miscellaneous-cards-and-products-vaporeon-vmax-premium-collection?Language=all&amp;page=1</t>
  </si>
  <si>
    <t>Ascended Heroes Pokemon Center Elite Trainer Box</t>
  </si>
  <si>
    <t>Ascended Heroes PC ETB</t>
  </si>
  <si>
    <t>https://tcgplayer-cdn.tcgplayer.com/product/668497_in_1000x1000.jpg</t>
  </si>
  <si>
    <t>https://www.tcgplayer.com/product/668497/pokemon-me-ascended-heroes-ascended-heroes-pokemon-center-elite-trainer-box-exclusive?Language=all&amp;page=1</t>
  </si>
  <si>
    <t>Celebrations Elite Trainer Box</t>
  </si>
  <si>
    <t>Celebrations ETB</t>
  </si>
  <si>
    <t>https://tcgplayer-cdn.tcgplayer.com/product/242811_in_1000x1000.jpg</t>
  </si>
  <si>
    <t>https://www.tcgplayer.com/product/242811/pokemon-celebrations-celebrations-elite-trainer-box?Language=all&amp;page=1</t>
  </si>
  <si>
    <t>Blooming Waters Premium Collection</t>
  </si>
  <si>
    <t>https://tcgplayer-cdn.tcgplayer.com/product/609597_in_1000x1000.jpg</t>
  </si>
  <si>
    <t>https://www.tcgplayer.com/product/609597/pokemon-miscellaneous-cards-and-products-blooming-waters-premium-collection?Language=all&amp;page=1</t>
  </si>
  <si>
    <t>Flareon VMAX Premium Collection</t>
  </si>
  <si>
    <t>https://tcgplayer-cdn.tcgplayer.com/product/249705_in_1000x1000.jpg</t>
  </si>
  <si>
    <t>https://www.tcgplayer.com/product/249705/pokemon-miscellaneous-cards-and-products-flareon-vmax-premium-collection?Language=all&amp;page=1</t>
  </si>
  <si>
    <t>Jolteon VMAX Premium Collection</t>
  </si>
  <si>
    <t>https://tcgplayer-cdn.tcgplayer.com/product/249693_in_1000x1000.jpg</t>
  </si>
  <si>
    <t>https://www.tcgplayer.com/product/249693/pokemon-miscellaneous-cards-and-products-jolteon-vmax-premium-collection?Language=all&amp;page=1</t>
  </si>
  <si>
    <t>Sea &amp; Sky Premium Collection</t>
  </si>
  <si>
    <t>https://tcgplayer-cdn.tcgplayer.com/product/563307_in_1000x1000.jpg</t>
  </si>
  <si>
    <t>https://www.tcgplayer.com/product/563307/pokemon-crown-zenith-sea-and-sky-premium-collection?Language=all&amp;page=1</t>
  </si>
  <si>
    <t>Surging Sparks Booster Box</t>
  </si>
  <si>
    <t>Surging Sparks</t>
  </si>
  <si>
    <t>https://tcgplayer-cdn.tcgplayer.com/product/565606_in_1000x1000.jpg</t>
  </si>
  <si>
    <t>https://www.tcgplayer.com/product/565606/pokemon-sv08-surging-sparks-surging-sparks-booster-box?Language=all&amp;page=1</t>
  </si>
  <si>
    <t>Team Rocket’s Moltres ex Ultra-Premium Collection</t>
  </si>
  <si>
    <t>Team Rocket’s Moltres ex UPC</t>
  </si>
  <si>
    <t>https://tcgplayer-cdn.tcgplayer.com/product/656997_in_1000x1000.jpg</t>
  </si>
  <si>
    <t>https://www.tcgplayer.com/product/656997/pokemon-miscellaneous-cards-and-products-team-rockets-moltres-ex-ultra-premium-collection?Language=all&amp;page=1</t>
  </si>
  <si>
    <t>Costco Pokemon Prismatic Evolutions 2-Pack Trainer Box and Booster Bundle</t>
  </si>
  <si>
    <t>https://tcgplayer-cdn.tcgplayer.com/product/636740_in_1000x1000.jpg</t>
  </si>
  <si>
    <t>https://www.tcgplayer.com/product/636740/pokemon-miscellaneous-cards-and-products-costco-pokemon-prismatic-evolutions-2-pack-trainer-box-and-booster-bundle?Language=all&amp;page=1</t>
  </si>
  <si>
    <t>Reshiram &amp; Charizard GX Premium Collection</t>
  </si>
  <si>
    <t>https://tcgplayer-cdn.tcgplayer.com/product/248208_in_1000x1000.jpg</t>
  </si>
  <si>
    <t>https://www.tcgplayer.com/product/248208/pokemon-miscellaneous-cards-and-products-reshiram-and-charizard-gx-premium-collection?Language=all&amp;page=1</t>
  </si>
  <si>
    <t>Phantasmal Flames Pokemon Center Elite Trainer Box</t>
  </si>
  <si>
    <t>Phantasmal Flames PC ETB</t>
  </si>
  <si>
    <t>https://tcgplayer-cdn.tcgplayer.com/product/654135_in_1000x1000.jpg</t>
  </si>
  <si>
    <t>https://www.tcgplayer.com/product/654135/pokemon-me02-phantasmal-flames-phantasmal-flames-pokemon-center-elite-trainer-box-exclusive?Language=all&amp;page=1</t>
  </si>
  <si>
    <t>Black Bolt Pokemon Center Elite Trainer Box</t>
  </si>
  <si>
    <t>Black Bolt PC ETB</t>
  </si>
  <si>
    <t>https://tcgplayer-cdn.tcgplayer.com/product/630687_in_1000x1000.jpg</t>
  </si>
  <si>
    <t>https://www.tcgplayer.com/product/630687/pokemon-sv-black-bolt-black-bolt-pokemon-center-elite-trainer-box-exclusive?Language=all&amp;page=1</t>
  </si>
  <si>
    <t>Pikachu &amp; Zekrom GX Premium Collection</t>
  </si>
  <si>
    <t>https://tcgplayer-cdn.tcgplayer.com/product/253396_in_1000x1000.jpg</t>
  </si>
  <si>
    <t>https://www.tcgplayer.com/product/253396/pokemon-miscellaneous-cards-and-products-pikachu-and-zekrom-gx-premium-collection?Language=all&amp;page=1</t>
  </si>
  <si>
    <t>Costco Prismatic Evolutions 8-Pack Mini Tins</t>
  </si>
  <si>
    <t>https://tcgplayer-cdn.tcgplayer.com/product/653892_in_1000x1000.jpg</t>
  </si>
  <si>
    <t>https://www.tcgplayer.com/product/653892/pokemon-miscellaneous-cards-and-products-costco-prismatic-evolutions-8-pack-mini-tins?Language=all&amp;page=1</t>
  </si>
  <si>
    <t>Shining Legends: Shiny Zygarde GX Box</t>
  </si>
  <si>
    <t>https://tcgplayer-cdn.tcgplayer.com/product/169543_in_1000x1000.jpg</t>
  </si>
  <si>
    <t>https://www.tcgplayer.com/product/169543/pokemon-shining-legends-shining-legends-shiny-zygarde-gx-box?Language=all&amp;page=1</t>
  </si>
  <si>
    <t>Paldean Fates Great Tusk ex &amp; Iron Treads ex Premium Collection</t>
  </si>
  <si>
    <t>https://tcgplayer-cdn.tcgplayer.com/product/665113_in_1000x1000.jpg</t>
  </si>
  <si>
    <t>https://www.tcgplayer.com/product/665113/pokemon-sv-paldean-fates-paldean-fates-great-tusk-ex-and-iron-treads-ex-premium-collection?Language=all&amp;page=1</t>
  </si>
  <si>
    <t>Heavy Hitters Premium Collection</t>
  </si>
  <si>
    <t>https://tcgplayer-cdn.tcgplayer.com/product/529698_in_1000x1000.jpg</t>
  </si>
  <si>
    <t>https://www.tcgplayer.com/product/529698/pokemon-miscellaneous-cards-and-products-heavy-hitters-premium-collection-fall-2023?Language=all&amp;page=1</t>
  </si>
  <si>
    <t>Destined Rivals Elite Trainer Box</t>
  </si>
  <si>
    <t>Destined Rivals ETB</t>
  </si>
  <si>
    <t>https://tcgplayer-cdn.tcgplayer.com/product/624676_in_1000x1000.jpg</t>
  </si>
  <si>
    <t>https://www.tcgplayer.com/product/624676/pokemon-sv10-destined-rivals-destined-rivals-elite-trainer-box?Language=all&amp;page=1</t>
  </si>
  <si>
    <t>Costco Pokemon Scarlet &amp; Violet 151 Mini Tin 5-pack (Magneton)</t>
  </si>
  <si>
    <t>https://tcgplayer-cdn.tcgplayer.com/product/587747_in_1000x1000.jpg</t>
  </si>
  <si>
    <t>https://www.tcgplayer.com/product/587747/pokemon-miscellaneous-cards-and-products-costco-pokemon-scarlet-and-violet-151-mini-tin-5-pack-magneton?Language=all&amp;page=1</t>
  </si>
  <si>
    <t>Brilliant Stars Pokemon Center Elite Trainer Box</t>
  </si>
  <si>
    <t>Brilliant Stars PC ETB</t>
  </si>
  <si>
    <t>https://tcgplayer-cdn.tcgplayer.com/product/256140_in_1000x1000.jpg</t>
  </si>
  <si>
    <t>https://www.tcgplayer.com/product/256140/pokemon-swsh09-brilliant-stars-brilliant-stars-pokemon-center-elite-trainer-box-exclusive?Language=all&amp;page=1</t>
  </si>
  <si>
    <t>Sun &amp; Moon Elite Trainer Box [Lunala]</t>
  </si>
  <si>
    <t>Sun &amp; Moon Base Set</t>
  </si>
  <si>
    <t>Sun &amp; Moon ETB [Lunala]</t>
  </si>
  <si>
    <t>https://tcgplayer-cdn.tcgplayer.com/product/126091_in_1000x1000.jpg</t>
  </si>
  <si>
    <t>https://www.tcgplayer.com/product/126091/pokemon-sm-base-set-sun-and-moon-elite-trainer-box-lunala?Language=all&amp;page=1</t>
  </si>
  <si>
    <t>Prismatic Evolutions Elite Trainer Box</t>
  </si>
  <si>
    <t>Prismatic Evolutions ETB</t>
  </si>
  <si>
    <t>https://tcgplayer-cdn.tcgplayer.com/product/593355_in_1000x1000.jpg</t>
  </si>
  <si>
    <t>https://www.tcgplayer.com/product/593355/pokemon-sv-prismatic-evolutions-prismatic-evolutions-elite-trainer-box?Language=all&amp;page=1</t>
  </si>
  <si>
    <t>Pokemon Go Elite Trainer Box Plus</t>
  </si>
  <si>
    <t>Pokemon Go</t>
  </si>
  <si>
    <t>Pokemon Go ETB Plus</t>
  </si>
  <si>
    <t>https://tcgplayer-cdn.tcgplayer.com/product/270709_in_1000x1000.jpg</t>
  </si>
  <si>
    <t>https://www.tcgplayer.com/product/270709/pokemon-pokemon-go-pokemon-go-pokemon-center-elite-trainer-box-plus-exclusive?Language=all&amp;page=1</t>
  </si>
  <si>
    <t>Mega Charizard X ex Ultra Premium Collection</t>
  </si>
  <si>
    <t>Mega Charizard X ex UPC</t>
  </si>
  <si>
    <t>https://www.tcgplayer.com/product/654213/pokemon-miscellaneous-cards-and-products-mega-charizard-x-ex-ultra-premium-collection?Language=all&amp;page=1</t>
  </si>
  <si>
    <t>White Flare Pokemon Center Elite Trainer Box</t>
  </si>
  <si>
    <t>White Flare PC ETB</t>
  </si>
  <si>
    <t>https://tcgplayer-cdn.tcgplayer.com/product/630688_in_1000x1000.jpg</t>
  </si>
  <si>
    <t>https://www.tcgplayer.com/product/630688/pokemon-sv-white-flare-white-flare-pokemon-center-elite-trainer-box-exclusive?Language=all&amp;page=1</t>
  </si>
  <si>
    <t>Prismatic Evolutions Premium Figure Collection</t>
  </si>
  <si>
    <t>https://tcgplayer-cdn.tcgplayer.com/product/650799_in_1000x1000.jpg</t>
  </si>
  <si>
    <t>https://www.tcgplayer.com/product/650799/pokemon-sv-prismatic-evolutions-prismatic-evolutions-premium-figure-collection?Language=all&amp;page=1</t>
  </si>
  <si>
    <t>151 Booster Bundle</t>
  </si>
  <si>
    <t>https://tcgplayer-cdn.tcgplayer.com/product/502000_in_1000x1000.jpg</t>
  </si>
  <si>
    <t>https://www.tcgplayer.com/product/502000/pokemon-sv-scarlet-and-violet-151-151-booster-bundle?Language=all&amp;page=1</t>
  </si>
  <si>
    <t>Sun &amp; Moon Elite Trainer Box [Solgaleo]</t>
  </si>
  <si>
    <t>Sun &amp; Moon ETB [Solgaleo]</t>
  </si>
  <si>
    <t>https://tcgplayer-cdn.tcgplayer.com/product/126089_in_1000x1000.jpg</t>
  </si>
  <si>
    <t>https://www.tcgplayer.com/product/126089/pokemon-sm-base-set-sun-and-moon-elite-trainer-box-solgaleo?Language=all&amp;page=1</t>
  </si>
  <si>
    <t>Mega Evolution Pokemon Center Elite Trainer Box [Mega Lucario]</t>
  </si>
  <si>
    <t>Mega Evolution PC ETB [Mega Lucario]</t>
  </si>
  <si>
    <t>https://tcgplayer-cdn.tcgplayer.com/product/644282_in_1000x1000.jpg</t>
  </si>
  <si>
    <t>https://www.tcgplayer.com/product/644282/pokemon-me01-mega-evolution-mega-evolution-pokemon-center-elite-trainer-box-exclusive-mega-lucario?Language=all&amp;page=1</t>
  </si>
  <si>
    <t>Hidden Fates Pin Collection [Mew]</t>
  </si>
  <si>
    <t>https://tcgplayer-cdn.tcgplayer.com/product/193439_in_1000x1000.jpg</t>
  </si>
  <si>
    <t>https://www.tcgplayer.com/product/193439/pokemon-hidden-fates-hidden-fates-pin-collection-mew?Language=all&amp;page=1</t>
  </si>
  <si>
    <t>Prismatic Evolutions Lucario ex &amp; Tyranitar ex Premium Collection (Sam's Club)</t>
  </si>
  <si>
    <t>https://tcgplayer-cdn.tcgplayer.com/product/648365_in_1000x1000.jpg</t>
  </si>
  <si>
    <t>https://www.tcgplayer.com/product/648365/pokemon-miscellaneous-cards-and-products-prismatic-evolutions-lucario-ex-and-tyranitar-ex-premium-collection-sams-club?Language=all&amp;page=1</t>
  </si>
  <si>
    <t>Paldean Fates Premium Collection [Skeledirge ex]</t>
  </si>
  <si>
    <t>https://tcgplayer-cdn.tcgplayer.com/product/528080_in_1000x1000.jpg</t>
  </si>
  <si>
    <t>https://www.tcgplayer.com/product/528080/pokemon-sv-paldean-fates-paldean-fates-premium-collection-skeledirge-ex?Language=all&amp;page=1</t>
  </si>
  <si>
    <t>Hidden Fates Collection [Charizard GX]</t>
  </si>
  <si>
    <t>https://tcgplayer-cdn.tcgplayer.com/product/205159_in_1000x1000.jpg</t>
  </si>
  <si>
    <t>https://www.tcgplayer.com/product/205159/pokemon-hidden-fates-hidden-fates-collection-charizard-gx?Language=all&amp;page=1</t>
  </si>
  <si>
    <t>Hidden Fates Collection [Raichu GX]</t>
  </si>
  <si>
    <t>https://tcgplayer-cdn.tcgplayer.com/product/205161_in_1000x1000.jpg</t>
  </si>
  <si>
    <t>https://www.tcgplayer.com/product/205161/pokemon-hidden-fates-hidden-fates-collection-raichu-gx?Language=all&amp;page=1</t>
  </si>
  <si>
    <t>Mega Evolution Pokemon Center Elite Trainer Box [Mega Gardevoir]</t>
  </si>
  <si>
    <t>Mega Evolution PC ETB [Mega Gardevoir]</t>
  </si>
  <si>
    <t>https://tcgplayer-cdn.tcgplayer.com/product/648415_in_1000x1000.jpg</t>
  </si>
  <si>
    <t>https://www.tcgplayer.com/product/648415/pokemon-me01-mega-evolution-mega-evolution-pokemon-center-elite-trainer-box-exclusive-mega-gardevoir?Language=all&amp;page=1</t>
  </si>
  <si>
    <t>Hidden Fates Pin Collection [Mewtwo]</t>
  </si>
  <si>
    <t>https://tcgplayer-cdn.tcgplayer.com/product/193440_in_1000x1000.jpg</t>
  </si>
  <si>
    <t>https://www.tcgplayer.com/product/193440/pokemon-hidden-fates-hidden-fates-pin-collection-mewtwo?Language=all&amp;page=1</t>
  </si>
  <si>
    <t>Astral Radiance Pokemon Center Elite Trainer Box</t>
  </si>
  <si>
    <t>Astral Radiance</t>
  </si>
  <si>
    <t>Astral Radiance PC ETB</t>
  </si>
  <si>
    <t>https://tcgplayer-cdn.tcgplayer.com/product/265528_in_1000x1000.jpg</t>
  </si>
  <si>
    <t>https://www.tcgplayer.com/product/265528/pokemon-swsh10-astral-radiance-astral-radiance-pokemon-center-elite-trainer-box-exclusive?Language=all&amp;page=1</t>
  </si>
  <si>
    <t>Twilight Masquerade Pokemon Center Elite Trainer Box</t>
  </si>
  <si>
    <t>Twilight Masquerade PC ETB</t>
  </si>
  <si>
    <t>https://tcgplayer-cdn.tcgplayer.com/product/543844_in_1000x1000.jpg</t>
  </si>
  <si>
    <t>https://www.tcgplayer.com/product/543844/pokemon-sv06-twilight-masquerade-twilight-masquerade-pokemon-center-elite-trainer-box-exclusive?Language=all&amp;page=1</t>
  </si>
  <si>
    <t>Hidden Fates Collection [Gyarados GX]</t>
  </si>
  <si>
    <t>https://tcgplayer-cdn.tcgplayer.com/product/205160_in_1000x1000.jpg</t>
  </si>
  <si>
    <t>https://www.tcgplayer.com/product/205160/pokemon-hidden-fates-hidden-fates-collection-gyarados-gx?Language=all&amp;page=1</t>
  </si>
  <si>
    <t>Celebrations Collector Chest</t>
  </si>
  <si>
    <t>https://tcgplayer-cdn.tcgplayer.com/product/244727_in_1000x1000.jpg</t>
  </si>
  <si>
    <t>https://www.tcgplayer.com/product/244727/pokemon-celebrations-celebrations-collector-chest?Language=all&amp;page=1</t>
  </si>
  <si>
    <t>Legendary Warriors Premium Collection</t>
  </si>
  <si>
    <t>https://tcgplayer-cdn.tcgplayer.com/product/594495_in_1000x1000.jpg</t>
  </si>
  <si>
    <t>https://www.tcgplayer.com/product/594495/pokemon-miscellaneous-cards-and-products-legendary-warriors-premium-collection?Language=all&amp;page=1</t>
  </si>
  <si>
    <t>Celebrations Collection [Pikachu V-Union]</t>
  </si>
  <si>
    <t>https://tcgplayer-cdn.tcgplayer.com/product/244726_in_1000x1000.jpg</t>
  </si>
  <si>
    <t>https://www.tcgplayer.com/product/244726/pokemon-celebrations-celebrations-collection-pikachu-v-union?Language=all&amp;page=1</t>
  </si>
  <si>
    <t>Hidden Fates Tin [Raichu GX]</t>
  </si>
  <si>
    <t>https://tcgplayer-cdn.tcgplayer.com/product/193438_in_1000x1000.jpg</t>
  </si>
  <si>
    <t>https://www.tcgplayer.com/product/193438/pokemon-hidden-fates-hidden-fates-tin-raichu-gx?Language=all&amp;page=1</t>
  </si>
  <si>
    <t>Hidden Fates Tin [Charizard GX]</t>
  </si>
  <si>
    <t>https://tcgplayer-cdn.tcgplayer.com/product/193437_in_1000x1000.jpghttps://www.tcgplayer.com/product/193436/pokemon-hidden-fates-hidden-fates-tin-gyarados-gx?Language=all&amp;page=1</t>
  </si>
  <si>
    <t>https://www.tcgplayer.com/product/193437/pokemon-hidden-fates-hidden-fates-tin-charizard-gx?Language=all&amp;page=1</t>
  </si>
  <si>
    <t>Hidden Fates Tin [Gyarados GX]</t>
  </si>
  <si>
    <t>https://tcgplayer-cdn.tcgplayer.com/product/193436_in_1000x1000.jpg</t>
  </si>
  <si>
    <t>https://www.tcgplayer.com/product/193436/pokemon-hidden-fates-hidden-fates-tin-gyarados-gx?Language=all&amp;page=1</t>
  </si>
  <si>
    <t>Costco Pokemon Surging Sparks 2-Pack Trainer Box and Booster Bundle</t>
  </si>
  <si>
    <t>https://tcgplayer-cdn.tcgplayer.com/product/650397_in_1000x1000.jpg</t>
  </si>
  <si>
    <t>https://www.tcgplayer.com/product/650397/pokemon-miscellaneous-cards-and-products-costco-pokemon-surging-sparks-2-pack-trainer-box-and-booster-bundle?Language=all&amp;page=1</t>
  </si>
  <si>
    <t>Paldean Fates Booster Bundle</t>
  </si>
  <si>
    <t>https://tcgplayer-cdn.tcgplayer.com/product/528771_in_1000x1000.jpg</t>
  </si>
  <si>
    <t>https://www.tcgplayer.com/product/528771/pokemon-sv-paldean-fates-paldean-fates-booster-bundle?Language=all&amp;page=1</t>
  </si>
  <si>
    <t>Shrouded Fable Pokemon Center Elite Trainer Box</t>
  </si>
  <si>
    <t>Shrouded Fable PC ETB</t>
  </si>
  <si>
    <t>https://tcgplayer-cdn.tcgplayer.com/product/552998_in_1000x1000.jpg</t>
  </si>
  <si>
    <t>https://www.tcgplayer.com/product/552998/pokemon-sv-shrouded-fable-shrouded-fable-pokemon-center-elite-trainer-box-exclusive?Language=all&amp;page=1</t>
  </si>
  <si>
    <t>Stellar Crown Pokemon Center Elite Trainer Box</t>
  </si>
  <si>
    <t>Stellar Crown PC ETB</t>
  </si>
  <si>
    <t>https://tcgplayer-cdn.tcgplayer.com/product/557340_in_1000x1000.jpg</t>
  </si>
  <si>
    <t>https://www.tcgplayer.com/product/557340/pokemon-sv07-stellar-crown-stellar-crown-pokemon-center-elite-trainer-box-exclusive?Language=all&amp;page=1</t>
  </si>
  <si>
    <t>Greninja ex Special Illustration Collection</t>
  </si>
  <si>
    <t>https://tcgplayer-cdn.tcgplayer.com/product/553002_in_1000x1000.jpg</t>
  </si>
  <si>
    <t>https://www.tcgplayer.com/product/553002/pokemon-sv-shrouded-fable-greninja-ex-special-illustration-collection?Language=all&amp;page=1</t>
  </si>
  <si>
    <t>Champion's Path Premium Collection [Marnie]</t>
  </si>
  <si>
    <t>Champion's Path</t>
  </si>
  <si>
    <t>https://tcgplayer-cdn.tcgplayer.com/product/218807_in_1000x1000.jpg</t>
  </si>
  <si>
    <t>https://www.tcgplayer.com/product/218807/pokemon-champions-path-champions-path-premium-collection-marnie?Language=all&amp;page=1</t>
  </si>
  <si>
    <t>Unova Heavy Hitters Premium Collection</t>
  </si>
  <si>
    <t>https://tcgplayer-cdn.tcgplayer.com/product/668632_in_1000x1000.jpg</t>
  </si>
  <si>
    <t>https://www.tcgplayer.com/product/668632/pokemon-sv-black-bolt-unova-heavy-hitters-premium-collection?Language=all&amp;page=1</t>
  </si>
  <si>
    <t>Crown Zenith Special Collection [Unown V &amp; Lugia V]</t>
  </si>
  <si>
    <t>https://tcgplayer-cdn.tcgplayer.com/product/505916_in_1000x1000.jpg</t>
  </si>
  <si>
    <t>https://www.tcgplayer.com/product/505916/pokemon-crown-zenith-crown-zenith-special-collection-unown-v-and-lugia-v?Language=all&amp;page=1</t>
  </si>
  <si>
    <t>Celebrations Collection [Lance's Charizard V]</t>
  </si>
  <si>
    <t>https://tcgplayer-cdn.tcgplayer.com/product/242808_in_1000x1000.jpg</t>
  </si>
  <si>
    <t>https://www.tcgplayer.com/product/242808/pokemon-celebrations-celebrations-collection-lances-charizard-v?Language=all&amp;page=1</t>
  </si>
  <si>
    <t>Celebrations Collection [Dark Sylveon V]</t>
  </si>
  <si>
    <t>https://tcgplayer-cdn.tcgplayer.com/product/242809_in_1000x1000.jpg</t>
  </si>
  <si>
    <t>https://www.tcgplayer.com/product/242809/pokemon-celebrations-celebrations-collection-dark-sylveon-v?Language=all&amp;page=1</t>
  </si>
  <si>
    <t>151: Alakazam ex Collection</t>
  </si>
  <si>
    <t>https://tcgplayer-cdn.tcgplayer.com/product/502006_in_1000x1000.jpg</t>
  </si>
  <si>
    <t>https://www.tcgplayer.com/product/502006/pokemon-sv-scarlet-and-violet-151-151-alakazam-ex-collection?Language=all&amp;page=1</t>
  </si>
  <si>
    <t>Phantasmal Flames Elite Trainer Box</t>
  </si>
  <si>
    <t>Phantasmal Flames ETB</t>
  </si>
  <si>
    <t>https://tcgplayer-cdn.tcgplayer.com/product/654136_in_1000x1000.jpg</t>
  </si>
  <si>
    <t>https://www.tcgplayer.com/product/654136/pokemon-me02-phantasmal-flames-phantasmal-flames-elite-trainer-box?Language=all&amp;page=1</t>
  </si>
  <si>
    <t>Morpeko V-UNION Playmat Premium Collection</t>
  </si>
  <si>
    <t>Morpeko VPlaymat Premium Collection</t>
  </si>
  <si>
    <t>https://tcgplayer-cdn.tcgplayer.com/product/475644_in_1000x1000.jpg</t>
  </si>
  <si>
    <t>https://www.tcgplayer.com/product/475644/pokemon-crown-zenith-morpeko-v-union-playmat-premium-collection?Language=all&amp;page=1</t>
  </si>
  <si>
    <t>Black Bolt Elite Trainer Box</t>
  </si>
  <si>
    <t>Black Bolt ETB</t>
  </si>
  <si>
    <t>https://tcgplayer-cdn.tcgplayer.com/product/630686_in_1000x1000.jpg</t>
  </si>
  <si>
    <t>https://www.tcgplayer.com/product/630686/pokemon-sv-black-bolt-black-bolt-elite-trainer-box?Language=all&amp;page=1</t>
  </si>
  <si>
    <t>Shrouded Fable Elite Trainer Box</t>
  </si>
  <si>
    <t>Shrouded Fable ETB</t>
  </si>
  <si>
    <t>https://tcgplayer-cdn.tcgplayer.com/product/552999_in_1000x1000.jpg</t>
  </si>
  <si>
    <t>https://www.tcgplayer.com/product/552999/pokemon-sv-shrouded-fable-shrouded-fable-elite-trainer-box?page=1&amp;Language=English</t>
  </si>
  <si>
    <t>Surging Sparks Elite Trainer Box</t>
  </si>
  <si>
    <t>Surging Sparks ETB</t>
  </si>
  <si>
    <t>https://tcgplayer-cdn.tcgplayer.com/product/565630_in_1000x1000.jpg</t>
  </si>
  <si>
    <t>https://www.tcgplayer.com/product/565630/pokemon-sv08-surging-sparks-surging-sparks-elite-trainer-box?Language=English&amp;page=1</t>
  </si>
  <si>
    <t>White Flare Elite Trainer Box</t>
  </si>
  <si>
    <t>White Flare ETB</t>
  </si>
  <si>
    <t>https://tcgplayer-cdn.tcgplayer.com/product/630689_in_1000x1000.jpg</t>
  </si>
  <si>
    <t>https://www.tcgplayer.com/product/630689/pokemon-sv-white-flare-white-flare-elite-trainer-box?Language=English&amp;page=1</t>
  </si>
  <si>
    <t>Lugia ex &amp; Latias ex Premium Collection</t>
  </si>
  <si>
    <t>https://tcgplayer-cdn.tcgplayer.com/product/655739_in_1000x1000.jpg</t>
  </si>
  <si>
    <t>https://www.tcgplayer.com/product/655739/pokemon-miscellaneous-cards-and-products-lugia-ex-and-latias-ex-premium-collection?Language=English&amp;page=1</t>
  </si>
  <si>
    <t>151 Poster Collection</t>
  </si>
  <si>
    <t>https://tcgplayer-cdn.tcgplayer.com/product/502001_in_1000x1000.jpg</t>
  </si>
  <si>
    <t>https://www.tcgplayer.com/product/502001/pokemon-sv-scarlet-and-violet-151-151-poster-collection?Language=English&amp;page=1</t>
  </si>
  <si>
    <t>Prismatic Evolutions Booster Bundle</t>
  </si>
  <si>
    <t>https://tcgplayer-cdn.tcgplayer.com/product/600518_in_1000x1000.jpg</t>
  </si>
  <si>
    <t>https://www.tcgplayer.com/product/600518/pokemon-sv-prismatic-evolutions-prismatic-evolutions-booster-bundle?Language=English&amp;page=1</t>
  </si>
  <si>
    <t>Champion's Path Special Pin Collection [Circhester]</t>
  </si>
  <si>
    <t>https://tcgplayer-cdn.tcgplayer.com/product/218803_in_1000x1000.jpg</t>
  </si>
  <si>
    <t>https://www.tcgplayer.com/product/218803/pokemon-champions-path-champions-path-special-pin-collection-circhester?Language=English&amp;page=1</t>
  </si>
  <si>
    <t>Crown Zenith Collection [Regieleki V]</t>
  </si>
  <si>
    <t>https://tcgplayer-cdn.tcgplayer.com/product/453467_in_1000x1000.jpg</t>
  </si>
  <si>
    <t>https://www.tcgplayer.com/product/453467/pokemon-crown-zenith-crown-zenith-collection-regieleki-v?Language=English&amp;page=1</t>
  </si>
  <si>
    <t>Phantasmal Flames Booster Bundle</t>
  </si>
  <si>
    <t>https://tcgplayer-cdn.tcgplayer.com/product/654160_in_1000x1000.jpg</t>
  </si>
  <si>
    <t>https://www.tcgplayer.com/product/654160/pokemon-me02-phantasmal-flames-phantasmal-flames-booster-bundle?Language=English&amp;page=1</t>
  </si>
  <si>
    <t>Ascended Heroes First Partners Deluxe Pin Collection</t>
  </si>
  <si>
    <t>https://tcgplayer-cdn.tcgplayer.com/product/672391_in_1000x1000.jpg</t>
  </si>
  <si>
    <t>https://www.tcgplayer.com/product/672391/pokemon-me-ascended-heroes-ascended-heroes-first-partners-deluxe-pin-collection?Language=English&amp;page=1</t>
  </si>
  <si>
    <t>Chilling Reign Build &amp; Battle Box</t>
  </si>
  <si>
    <t>https://tcgplayer-cdn.tcgplayer.com/product/236265_in_1000x1000.jpg</t>
  </si>
  <si>
    <t>https://www.tcgplayer.com/product/236265/pokemon-swsh06-chilling-reign-chilling-reign-build-and-battle-box?Language=English&amp;page=1</t>
  </si>
  <si>
    <t>Mega Evolution Booster Bundle</t>
  </si>
  <si>
    <t>https://tcgplayer-cdn.tcgplayer.com/product/644362_in_1000x1000.jpg</t>
  </si>
  <si>
    <t>https://www.tcgplayer.com/product/644362/pokemon-me01-mega-evolution-mega-evolution-booster-bundle?Language=English&amp;page=1</t>
  </si>
  <si>
    <t>Surging Sparks Booster Bundle</t>
  </si>
  <si>
    <t>https://tcgplayer-cdn.tcgplayer.com/product/565629_in_1000x1000.jpg</t>
  </si>
  <si>
    <t>https://www.tcgplayer.com/product/565629/pokemon-sv08-surging-sparks-surging-sparks-booster-bundle-lgs?Language=English&amp;page=1</t>
  </si>
  <si>
    <t>Unova Victini Illustration Collection</t>
  </si>
  <si>
    <t>https://tcgplayer-cdn.tcgplayer.com/product/630615_in_1000x1000.jpg</t>
  </si>
  <si>
    <t>https://www.tcgplayer.com/product/630615/pokemon-sv-black-bolt-unova-victini-illustration-collection?Language=English&amp;page=1</t>
  </si>
  <si>
    <t>Brilliant Stars Build &amp; Battle Box</t>
  </si>
  <si>
    <t>https://tcgplayer-cdn.tcgplayer.com/product/256137_in_1000x1000.jpg</t>
  </si>
  <si>
    <t>https://www.tcgplayer.com/product/256137/pokemon-swsh09-brilliant-stars-brilliant-stars-build-and-battle-box?Language=English&amp;page=1</t>
  </si>
  <si>
    <t>Destined Rivals Build &amp; Battle Box</t>
  </si>
  <si>
    <t>https://tcgplayer-cdn.tcgplayer.com/product/625677_in_1000x1000.jpg</t>
  </si>
  <si>
    <t>https://www.tcgplayer.com/product/625677/pokemon-sv10-destined-rivals-destined-rivals-build-and-battle-box?Language=English&amp;page=1</t>
  </si>
  <si>
    <t>Paldean Fates Tech Sticker Collection [Greavard]</t>
  </si>
  <si>
    <t>https://tcgplayer-cdn.tcgplayer.com/product/528045_in_1000x1000.jpg</t>
  </si>
  <si>
    <t>https://www.tcgplayer.com/product/528045/pokemon-sv-paldean-fates-paldean-fates-tech-sticker-collection-greavard?Language=English&amp;page=1</t>
  </si>
  <si>
    <t>Hidden Fates Booster Pack</t>
  </si>
  <si>
    <t>https://tcgplayer-cdn.tcgplayer.com/product/198634_in_1000x1000.jpg</t>
  </si>
  <si>
    <t>https://www.tcgplayer.com/product/198634/pokemon-hidden-fates-hidden-fates-booster-pack?Language=English&amp;page=1</t>
  </si>
  <si>
    <t>Unova Poster Collection</t>
  </si>
  <si>
    <t>https://tcgplayer-cdn.tcgplayer.com/product/630612_in_1000x1000.jpg</t>
  </si>
  <si>
    <t>https://www.tcgplayer.com/product/630612/pokemon-sv-black-bolt-unova-poster-collection?Language=English&amp;page=1</t>
  </si>
  <si>
    <t>Mega Evolution: Ascended Heroes Tech Sticker Collection - Charmander</t>
  </si>
  <si>
    <t>https://tcgplayer-cdn.tcgplayer.com/product/666908_in_1000x1000.jpg</t>
  </si>
  <si>
    <t>https://www.tcgplayer.com/product/666908/pokemon-me-ascended-heroes-mega-evolution-ascended-heroes-tech-sticker-collection-charmander?Language=English&amp;page=1</t>
  </si>
  <si>
    <t>Prismatic Evolutions Poster Collection</t>
  </si>
  <si>
    <t>https://tcgplayer-cdn.tcgplayer.com/product/593359_in_1000x1000.jpg</t>
  </si>
  <si>
    <t>https://www.tcgplayer.com/product/593359/pokemon-sv-prismatic-evolutions-prismatic-evolutions-poster-collection?Language=English&amp;page=1</t>
  </si>
  <si>
    <t>Prismatic Evolutions Tech Sticker Collection [Leafeon]</t>
  </si>
  <si>
    <t>https://tcgplayer-cdn.tcgplayer.com/product/593453_in_1000x1000.jpg</t>
  </si>
  <si>
    <t>https://www.tcgplayer.com/product/593453/pokemon-sv-prismatic-evolutions-prismatic-evolutions-tech-sticker-collection-leafeon?Language=English&amp;page=1</t>
  </si>
  <si>
    <t>Black Kyurem EX Box</t>
  </si>
  <si>
    <t>https://tcgplayer-cdn.tcgplayer.com/product/662745_in_1000x1000.jpg</t>
  </si>
  <si>
    <t>https://www.tcgplayer.com/product/662745/pokemon-miscellaneous-cards-and-products-black-kyurem-ex-box?Language=English&amp;page=1</t>
  </si>
  <si>
    <t>Archaludon EX Box</t>
  </si>
  <si>
    <t>https://tcgplayer-cdn.tcgplayer.com/product/656955_in_1000x1000.jpg</t>
  </si>
  <si>
    <t>https://www.tcgplayer.com/product/656955/pokemon-miscellaneous-cards-and-products-archaludon-ex-box?Language=English&amp;page=1</t>
  </si>
  <si>
    <t>151 Booster Pack</t>
  </si>
  <si>
    <t>https://tcgplayer-cdn.tcgplayer.com/product/504467_in_1000x1000.jpg</t>
  </si>
  <si>
    <t>https://www.tcgplayer.com/product/504467/Pokemon-SV%20Scarlet%20and%20Violet%20151-151%20Booster%20Pack?xid=ac03b21db-a1b5-4c01-8cd7-4df4fe2ad28c&amp;Language=English</t>
  </si>
  <si>
    <t>Melmetal ex Box</t>
  </si>
  <si>
    <t>https://tcgplayer-cdn.tcgplayer.com/product/662750_in_1000x1000.jpg</t>
  </si>
  <si>
    <t>https://www.tcgplayer.com/product/662750/pokemon-miscellaneous-cards-and-products-melmetal-ex-box?Language=English&amp;page=1</t>
  </si>
  <si>
    <t>Reshiram ex Box</t>
  </si>
  <si>
    <t>https://tcgplayer-cdn.tcgplayer.com/product/670267_in_1000x1000.jpg</t>
  </si>
  <si>
    <t>https://www.tcgplayer.com/product/666512/pokemon-miscellaneous-cards-and-products-reshiram-ex-box?Language=English&amp;page=1</t>
  </si>
  <si>
    <t>Ascended Heroes Collection - Erika</t>
  </si>
  <si>
    <t>https://tcgplayer-cdn.tcgplayer.com/product/666906_in_1000x1000.jpg</t>
  </si>
  <si>
    <t>https://www.tcgplayer.com/product/666906/pokemon-me-ascended-heroes-mega-evolution-ascended-heroes-collection-erika?Language=English&amp;page=1</t>
  </si>
  <si>
    <t>Ascended Heroes Collection - Larry</t>
  </si>
  <si>
    <t>https://tcgplayer-cdn.tcgplayer.com/product/666907_in_1000x1000.jpg</t>
  </si>
  <si>
    <t>https://www.tcgplayer.com/product/666907/pokemon-me-ascended-heroes-mega-evolution-ascended-heroes-collection-larry?Language=English&amp;page=1</t>
  </si>
  <si>
    <t>Crown Zenith Booster Pack</t>
  </si>
  <si>
    <t>https://tcgplayer-cdn.tcgplayer.com/product/453466_in_1000x1000.jpg</t>
  </si>
  <si>
    <t>https://www.tcgplayer.com/product/453466/Pokemon-Crown%20Zenith-Crown%20Zenith%20Booster%20Pack?xid=a9759cda3-9956-4be2-bd70-56047dfc1112&amp;Language=English</t>
  </si>
  <si>
    <t>Prismatic Evolutions Booster Pack</t>
  </si>
  <si>
    <t>https://tcgplayer-cdn.tcgplayer.com/product/593294_in_1000x1000.jpg</t>
  </si>
  <si>
    <t>https://www.tcgplayer.com/product/593294/Pokemon-SV%20Prismatic%20Evolutions-Prismatic%20Evolutions%20Booster%20Pack?xid=a2cfa1203-9a09-4787-807b-7ace356549d4&amp;Language=English</t>
  </si>
  <si>
    <t>Destined Rivals Booster Pack</t>
  </si>
  <si>
    <t>https://tcgplayer-cdn.tcgplayer.com/product/624683_in_1000x1000.jpg</t>
  </si>
  <si>
    <t>https://www.tcgplayer.com/product/624683/Pokemon-SV10%20Destined%20Rivals-Destined%20Rivals%20Booster%20Pack?xid=a8a8e9941-a342-416e-8320-7cc5e80ab922&amp;Language=English</t>
  </si>
  <si>
    <t>Twilight Masquerade Booster Pack</t>
  </si>
  <si>
    <t>https://tcgplayer-cdn.tcgplayer.com/product/543843_in_1000x1000.jpg</t>
  </si>
  <si>
    <t>https://www.tcgplayer.com/product/543843/Pokemon-SV06%20Twilight%20Masquerade-Twilight%20Masquerade%20Booster%20Pack?xid=a9cec770d-d54d-483a-a60f-e6a59d50c040&amp;Language=English</t>
  </si>
  <si>
    <t>Surging Sparks Booster Pack</t>
  </si>
  <si>
    <t>https://tcgplayer-cdn.tcgplayer.com/product/565604_in_1000x1000.jpg</t>
  </si>
  <si>
    <t>https://www.tcgplayer.com/product/565604/Pokemon-SV08%20Surging%20Sparks-Surging%20Sparks%20Booster%20Pack?xid=a5738cbc7-211f-4675-aa8d-620436edad5a&amp;Language=English</t>
  </si>
  <si>
    <t>Journey Together Booster Pack</t>
  </si>
  <si>
    <t>https://tcgplayer-cdn.tcgplayer.com/product/610935_in_1000x1000.jpg</t>
  </si>
  <si>
    <t>https://www.tcgplayer.com/product/610935/Pokemon-SV09%20Journey%20Together-Journey%20Together%20Booster%20Pack?xid=aa47f7f6e-783d-4e83-9cb6-61b220a6c5e9&amp;Language=English</t>
  </si>
  <si>
    <t>Charizard ex 199/165 Special Illustration Rare</t>
  </si>
  <si>
    <t>NM</t>
  </si>
  <si>
    <t>2023 Pokemon Scarlet &amp; Violet Van Gogh Pikachu With Grey Felt Hat #085</t>
  </si>
  <si>
    <t>https://alt.xyz/itm/774c4e01-5934-43be-b27f-12ff5ce0516e/external</t>
  </si>
  <si>
    <t>https://www.cardladder.com/cards/pokemon/pikachu-grey-felt-hat</t>
  </si>
  <si>
    <t>PSA 9</t>
  </si>
  <si>
    <t>2019 Pokemon Sun &amp; Moon Cosmic Eclipse Fa/Rosa Cosmic Eclipse #236 PSA 10</t>
  </si>
  <si>
    <t>Rosa Full Art PSA 10</t>
  </si>
  <si>
    <t>2019 Pokemon Sm Black Star Promo Fa/Garch. &amp; Girat.Gx Promo-Pwr.Prtnrshp.Tins #SM193 PSA 10</t>
  </si>
  <si>
    <t>Garchomp &amp; Giratina GX SM193 PSA 10</t>
  </si>
  <si>
    <t>2000 Pokemon Gym Challenge Unlimited Blaine's Charizard HOLO R ERR #2 BGS 7.5</t>
  </si>
  <si>
    <t>Blaine's Charizard BGS 7.5</t>
  </si>
  <si>
    <t>2019 Pokemon Japanese Sun &amp; Moon Tag Team Gx All Stars Fa/Espeon &amp; Deoxys Gx Tag Team Gx All Stars #176 PSA 10</t>
  </si>
  <si>
    <t>Espeon &amp; Deoxys Gx JPN PSA 10</t>
  </si>
  <si>
    <t>2006 Pokemon Black Star Promos Mew-Holo Black Star Promos #040 PSA 9</t>
  </si>
  <si>
    <t>Mew Black Star PSA 9</t>
  </si>
  <si>
    <t>2016 Pokemon Xy Breakpoint Fa/M Gyarados Ex Breakpoint #115 PSA 9</t>
  </si>
  <si>
    <t>M Gyarados Ex Breakpoint PSA 9</t>
  </si>
  <si>
    <t>2019 Pokemon Sm Black Star Promo Mew-Holo Prm-Hddn.Fts.Pin Coll. #SM215 PSA 10</t>
  </si>
  <si>
    <t>Mew SM215 PSA 10</t>
  </si>
  <si>
    <t>2019 Pokemon Japanese Sun &amp; Moon Gg End Fa/Garch. &amp; Girat.Gx Gg End-Hyper #066 PSA 10</t>
  </si>
  <si>
    <t>Garchomp &amp; Giratina GX JPN PSA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</si>
</sst>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7C948"/>
      <name val="Arial"/>
      <family val="2"/>
    </font>
    <font>
      <sz val="9"/>
      <color rgb="FF9999BB"/>
      <name val="Arial"/>
      <family val="2"/>
    </font>
    <font>
      <b/>
      <sz val="10"/>
      <color rgb="FFF7C948"/>
      <name val="Arial"/>
      <family val="2"/>
    </font>
    <font>
      <sz val="8"/>
      <color rgb="FF9999BB"/>
      <name val="Arial"/>
      <family val="2"/>
    </font>
    <font>
      <b/>
      <sz val="10"/>
      <color rgb="FF4ADE80"/>
      <name val="Arial"/>
      <family val="2"/>
    </font>
    <font>
      <b/>
      <sz val="10"/>
      <color rgb="FF5B8DEE"/>
      <name val="Arial"/>
      <family val="2"/>
    </font>
    <font>
      <sz val="8"/>
      <color rgb="FF55556A"/>
      <name val="Arial"/>
      <family val="2"/>
    </font>
    <font>
      <sz val="9"/>
      <color rgb="FFF0F0F5"/>
      <name val="Arial"/>
      <family val="2"/>
    </font>
    <font>
      <sz val="9"/>
      <color rgb="FF5B8DEE"/>
      <name val="Arial"/>
      <family val="2"/>
    </font>
    <font>
      <sz val="9"/>
      <color rgb="FF4ADE80"/>
      <name val="Arial"/>
      <family val="2"/>
    </font>
    <font>
      <sz val="9"/>
      <color rgb="FFF7C948"/>
      <name val="Arial"/>
      <family val="2"/>
    </font>
    <font>
      <sz val="9"/>
      <color rgb="FFAADDFF"/>
      <name val="Arial"/>
      <family val="2"/>
    </font>
    <font>
      <b/>
      <sz val="12"/>
      <color rgb="FFF7C948"/>
      <name val="Arial"/>
      <family val="2"/>
    </font>
    <font>
      <b/>
      <sz val="9"/>
      <color rgb="FF9999BB"/>
      <name val="Arial"/>
      <family val="2"/>
    </font>
    <font>
      <sz val="10"/>
      <color rgb="FF4ADE80"/>
      <name val="Arial"/>
      <family val="2"/>
    </font>
    <font>
      <b/>
      <sz val="14"/>
      <color rgb="FFF7C94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A1A0A"/>
      </patternFill>
    </fill>
    <fill>
      <patternFill patternType="solid">
        <fgColor rgb="FF0D1A2E"/>
      </patternFill>
    </fill>
    <fill>
      <patternFill patternType="solid">
        <fgColor rgb="FF1A1500"/>
      </patternFill>
    </fill>
    <fill>
      <patternFill patternType="solid">
        <fgColor rgb="FF0D0D18"/>
      </patternFill>
    </fill>
    <fill>
      <patternFill patternType="solid">
        <fgColor rgb="FF0F0F1A"/>
      </patternFill>
    </fill>
    <fill>
      <patternFill patternType="solid">
        <fgColor rgb="FF14141F"/>
      </patternFill>
    </fill>
  </fills>
  <borders count="2">
    <border>
      <left/>
      <right/>
      <top/>
      <bottom/>
      <diagonal/>
    </border>
    <border>
      <left style="thin">
        <color rgb="FF2A2A38"/>
      </left>
      <right style="thin">
        <color rgb="FF2A2A38"/>
      </right>
      <top style="thin">
        <color rgb="FF2A2A38"/>
      </top>
      <bottom style="thin">
        <color rgb="FF2A2A3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8" fillId="8" borderId="1" xfId="0" applyFont="1" applyFill="1" applyBorder="1"/>
    <xf numFmtId="0" fontId="10" fillId="8" borderId="1" xfId="0" applyFont="1" applyFill="1" applyBorder="1"/>
    <xf numFmtId="0" fontId="8" fillId="9" borderId="1" xfId="0" applyFont="1" applyFill="1" applyBorder="1"/>
    <xf numFmtId="0" fontId="10" fillId="9" borderId="1" xfId="0" applyFont="1" applyFill="1" applyBorder="1"/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8" borderId="1" xfId="0" applyFill="1" applyBorder="1"/>
    <xf numFmtId="0" fontId="14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0" fontId="3" fillId="2" borderId="0" xfId="0" applyFont="1" applyFill="1"/>
    <xf numFmtId="0" fontId="8" fillId="2" borderId="0" xfId="0" applyFont="1" applyFill="1" applyAlignment="1">
      <alignment vertical="top" wrapText="1"/>
    </xf>
    <xf numFmtId="0" fontId="14" fillId="9" borderId="0" xfId="0" applyFont="1" applyFill="1"/>
    <xf numFmtId="0" fontId="8" fillId="9" borderId="0" xfId="0" applyFont="1" applyFill="1" applyAlignment="1">
      <alignment vertical="top" wrapText="1"/>
    </xf>
    <xf numFmtId="0" fontId="6" fillId="3" borderId="0" xfId="0" applyFont="1" applyFill="1"/>
    <xf numFmtId="0" fontId="8" fillId="3" borderId="0" xfId="0" applyFont="1" applyFill="1" applyAlignment="1">
      <alignment vertical="top" wrapText="1"/>
    </xf>
    <xf numFmtId="0" fontId="14" fillId="8" borderId="0" xfId="0" applyFont="1" applyFill="1"/>
    <xf numFmtId="0" fontId="8" fillId="8" borderId="0" xfId="0" applyFont="1" applyFill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7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"/>
  <sheetViews>
    <sheetView tabSelected="1" workbookViewId="0">
      <pane ySplit="6" topLeftCell="A7" activePane="bottomLeft" state="frozen"/>
      <selection pane="bottomLeft" activeCell="C165" sqref="C165"/>
    </sheetView>
  </sheetViews>
  <sheetFormatPr defaultRowHeight="15" x14ac:dyDescent="0.25"/>
  <cols>
    <col min="1" max="1" width="36" customWidth="1"/>
    <col min="2" max="2" width="22" customWidth="1"/>
    <col min="3" max="3" width="20" customWidth="1"/>
    <col min="4" max="4" width="13" customWidth="1"/>
    <col min="5" max="5" width="10" customWidth="1"/>
    <col min="6" max="6" width="12" customWidth="1"/>
    <col min="7" max="7" width="14" customWidth="1"/>
    <col min="8" max="11" width="36" customWidth="1"/>
  </cols>
  <sheetData>
    <row r="1" spans="1:11" ht="33.950000000000003" customHeight="1" x14ac:dyDescent="0.25">
      <c r="A1" s="38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8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ht="5.0999999999999996" customHeight="1" x14ac:dyDescent="0.25"/>
    <row r="4" spans="1:11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1" t="s">
        <v>9</v>
      </c>
      <c r="I4" s="3" t="s">
        <v>10</v>
      </c>
      <c r="J4" s="4" t="s">
        <v>11</v>
      </c>
      <c r="K4" s="4" t="s">
        <v>12</v>
      </c>
    </row>
    <row r="5" spans="1:11" ht="27.95" customHeight="1" x14ac:dyDescent="0.25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</row>
    <row r="6" spans="1:11" ht="14.1" customHeight="1" x14ac:dyDescent="0.25">
      <c r="A6" s="37" t="s">
        <v>24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18" customHeight="1" x14ac:dyDescent="0.25">
      <c r="A7" s="6" t="s">
        <v>148</v>
      </c>
      <c r="B7" s="6">
        <v>151</v>
      </c>
      <c r="C7" s="6" t="s">
        <v>149</v>
      </c>
      <c r="D7" s="7" t="s">
        <v>28</v>
      </c>
      <c r="E7" s="8">
        <v>2</v>
      </c>
      <c r="F7" s="9">
        <v>2000</v>
      </c>
      <c r="G7" s="8" t="str">
        <f>IFERROR(AVERAGEIF('Purchase History'!B:B,C7,'Purchase History'!E:E),"")</f>
        <v/>
      </c>
      <c r="H7" s="6" t="s">
        <v>150</v>
      </c>
      <c r="I7" s="6" t="s">
        <v>151</v>
      </c>
      <c r="J7" s="6"/>
      <c r="K7" s="6"/>
    </row>
    <row r="8" spans="1:11" ht="18" customHeight="1" x14ac:dyDescent="0.25">
      <c r="A8" s="10" t="s">
        <v>152</v>
      </c>
      <c r="B8" s="10" t="s">
        <v>153</v>
      </c>
      <c r="C8" s="10" t="s">
        <v>154</v>
      </c>
      <c r="D8" s="11" t="s">
        <v>28</v>
      </c>
      <c r="E8" s="8">
        <v>2</v>
      </c>
      <c r="F8" s="13">
        <v>1990</v>
      </c>
      <c r="G8" s="12" t="str">
        <f>IFERROR(AVERAGEIF('Purchase History'!B:B,C8,'Purchase History'!E:E),"")</f>
        <v/>
      </c>
      <c r="H8" s="10" t="s">
        <v>155</v>
      </c>
      <c r="I8" s="10" t="s">
        <v>156</v>
      </c>
      <c r="J8" s="10"/>
      <c r="K8" s="10"/>
    </row>
    <row r="9" spans="1:11" ht="18" customHeight="1" x14ac:dyDescent="0.25">
      <c r="A9" s="6" t="s">
        <v>157</v>
      </c>
      <c r="B9" s="6">
        <v>151</v>
      </c>
      <c r="C9" s="6" t="s">
        <v>158</v>
      </c>
      <c r="D9" s="14" t="s">
        <v>28</v>
      </c>
      <c r="E9" s="8">
        <v>2</v>
      </c>
      <c r="F9" s="13">
        <v>1980</v>
      </c>
      <c r="G9" s="8" t="str">
        <f>IFERROR(AVERAGEIF('Purchase History'!B:B,C9,'Purchase History'!E:E),"")</f>
        <v/>
      </c>
      <c r="H9" s="6" t="s">
        <v>159</v>
      </c>
      <c r="I9" s="6" t="s">
        <v>160</v>
      </c>
      <c r="J9" s="6"/>
      <c r="K9" s="6"/>
    </row>
    <row r="10" spans="1:11" ht="18" customHeight="1" x14ac:dyDescent="0.25">
      <c r="A10" s="10" t="s">
        <v>161</v>
      </c>
      <c r="B10" s="10" t="s">
        <v>31</v>
      </c>
      <c r="C10" s="10" t="s">
        <v>162</v>
      </c>
      <c r="D10" s="13" t="s">
        <v>28</v>
      </c>
      <c r="E10" s="8">
        <v>2</v>
      </c>
      <c r="F10" s="13">
        <v>1970</v>
      </c>
      <c r="G10" s="12" t="str">
        <f>IFERROR(AVERAGEIF('Purchase History'!B:B,C10,'Purchase History'!E:E),"")</f>
        <v/>
      </c>
      <c r="H10" s="10" t="s">
        <v>163</v>
      </c>
      <c r="I10" s="10" t="s">
        <v>164</v>
      </c>
      <c r="J10" s="10"/>
      <c r="K10" s="10"/>
    </row>
    <row r="11" spans="1:11" ht="18" customHeight="1" x14ac:dyDescent="0.25">
      <c r="A11" s="6" t="s">
        <v>165</v>
      </c>
      <c r="B11" s="6" t="s">
        <v>166</v>
      </c>
      <c r="C11" s="6" t="s">
        <v>167</v>
      </c>
      <c r="D11" s="9" t="s">
        <v>28</v>
      </c>
      <c r="E11" s="8">
        <v>2</v>
      </c>
      <c r="F11" s="13">
        <v>1960</v>
      </c>
      <c r="G11" s="8" t="str">
        <f>IFERROR(AVERAGEIF('Purchase History'!B:B,C11,'Purchase History'!E:E),"")</f>
        <v/>
      </c>
      <c r="H11" s="6" t="s">
        <v>168</v>
      </c>
      <c r="I11" s="6" t="s">
        <v>169</v>
      </c>
      <c r="J11" s="6"/>
      <c r="K11" s="6"/>
    </row>
    <row r="12" spans="1:11" ht="18" customHeight="1" x14ac:dyDescent="0.25">
      <c r="A12" s="6" t="s">
        <v>170</v>
      </c>
      <c r="B12" s="6" t="s">
        <v>171</v>
      </c>
      <c r="C12" s="6" t="s">
        <v>172</v>
      </c>
      <c r="D12" s="9" t="s">
        <v>28</v>
      </c>
      <c r="E12" s="8">
        <v>2</v>
      </c>
      <c r="F12" s="13">
        <v>1950</v>
      </c>
      <c r="G12" s="8" t="str">
        <f>IFERROR(AVERAGEIF('Purchase History'!B:B,C12,'Purchase History'!E:E),"")</f>
        <v/>
      </c>
      <c r="H12" s="6" t="s">
        <v>173</v>
      </c>
      <c r="I12" s="6" t="s">
        <v>174</v>
      </c>
      <c r="J12" s="6"/>
      <c r="K12" s="6"/>
    </row>
    <row r="13" spans="1:11" ht="18" customHeight="1" x14ac:dyDescent="0.25">
      <c r="A13" s="6" t="s">
        <v>175</v>
      </c>
      <c r="B13" s="6" t="s">
        <v>176</v>
      </c>
      <c r="C13" s="6" t="s">
        <v>177</v>
      </c>
      <c r="D13" s="9" t="s">
        <v>28</v>
      </c>
      <c r="E13" s="8">
        <v>2</v>
      </c>
      <c r="F13" s="13">
        <v>1940</v>
      </c>
      <c r="G13" s="8" t="str">
        <f>IFERROR(AVERAGEIF('Purchase History'!B:B,C13,'Purchase History'!E:E),"")</f>
        <v/>
      </c>
      <c r="H13" s="6" t="s">
        <v>178</v>
      </c>
      <c r="I13" s="6" t="s">
        <v>179</v>
      </c>
      <c r="J13" s="6"/>
      <c r="K13" s="6"/>
    </row>
    <row r="14" spans="1:11" ht="18" customHeight="1" x14ac:dyDescent="0.25">
      <c r="A14" s="6" t="s">
        <v>180</v>
      </c>
      <c r="B14" s="6" t="s">
        <v>181</v>
      </c>
      <c r="C14" s="6" t="s">
        <v>182</v>
      </c>
      <c r="D14" s="9" t="s">
        <v>28</v>
      </c>
      <c r="E14" s="8">
        <v>2</v>
      </c>
      <c r="F14" s="13">
        <v>1930</v>
      </c>
      <c r="G14" s="8" t="str">
        <f>IFERROR(AVERAGEIF('Purchase History'!B:B,C14,'Purchase History'!E:E),"")</f>
        <v/>
      </c>
      <c r="H14" s="6" t="s">
        <v>183</v>
      </c>
      <c r="I14" s="6" t="s">
        <v>184</v>
      </c>
      <c r="J14" s="6"/>
      <c r="K14" s="6"/>
    </row>
    <row r="15" spans="1:11" ht="18" customHeight="1" x14ac:dyDescent="0.25">
      <c r="A15" s="6" t="s">
        <v>30</v>
      </c>
      <c r="B15" s="6" t="s">
        <v>31</v>
      </c>
      <c r="C15" s="6" t="s">
        <v>30</v>
      </c>
      <c r="D15" s="9" t="s">
        <v>28</v>
      </c>
      <c r="E15" s="8">
        <v>2</v>
      </c>
      <c r="F15" s="13">
        <v>1920</v>
      </c>
      <c r="G15" s="8" t="str">
        <f>IFERROR(AVERAGEIF('Purchase History'!B:B,C15,'Purchase History'!E:E),"")</f>
        <v/>
      </c>
      <c r="H15" s="6" t="s">
        <v>33</v>
      </c>
      <c r="I15" s="6" t="s">
        <v>185</v>
      </c>
      <c r="J15" s="6"/>
      <c r="K15" s="6"/>
    </row>
    <row r="16" spans="1:11" ht="18" customHeight="1" x14ac:dyDescent="0.25">
      <c r="A16" s="6" t="s">
        <v>186</v>
      </c>
      <c r="B16" s="6" t="s">
        <v>187</v>
      </c>
      <c r="C16" s="6" t="s">
        <v>188</v>
      </c>
      <c r="D16" s="9" t="s">
        <v>28</v>
      </c>
      <c r="E16" s="8">
        <v>2</v>
      </c>
      <c r="F16" s="13">
        <v>1910</v>
      </c>
      <c r="G16" s="8" t="str">
        <f>IFERROR(AVERAGEIF('Purchase History'!B:B,C16,'Purchase History'!E:E),"")</f>
        <v/>
      </c>
      <c r="H16" s="6" t="s">
        <v>189</v>
      </c>
      <c r="I16" s="6" t="s">
        <v>190</v>
      </c>
      <c r="J16" s="6"/>
      <c r="K16" s="6"/>
    </row>
    <row r="17" spans="1:11" ht="18" customHeight="1" x14ac:dyDescent="0.25">
      <c r="A17" s="6" t="s">
        <v>191</v>
      </c>
      <c r="B17" s="6" t="s">
        <v>181</v>
      </c>
      <c r="C17" s="6" t="s">
        <v>192</v>
      </c>
      <c r="D17" s="9" t="s">
        <v>28</v>
      </c>
      <c r="E17" s="8">
        <v>2</v>
      </c>
      <c r="F17" s="13">
        <v>1900</v>
      </c>
      <c r="G17" s="8" t="str">
        <f>IFERROR(AVERAGEIF('Purchase History'!B:B,C17,'Purchase History'!E:E),"")</f>
        <v/>
      </c>
      <c r="H17" s="6" t="s">
        <v>193</v>
      </c>
      <c r="I17" s="6" t="s">
        <v>194</v>
      </c>
      <c r="J17" s="6"/>
      <c r="K17" s="6"/>
    </row>
    <row r="18" spans="1:11" ht="18" customHeight="1" x14ac:dyDescent="0.25">
      <c r="A18" s="6" t="s">
        <v>195</v>
      </c>
      <c r="B18" s="6">
        <v>151</v>
      </c>
      <c r="C18" s="6" t="s">
        <v>195</v>
      </c>
      <c r="D18" s="9" t="s">
        <v>28</v>
      </c>
      <c r="E18" s="8">
        <v>2</v>
      </c>
      <c r="F18" s="13">
        <v>1890</v>
      </c>
      <c r="G18" s="8" t="str">
        <f>IFERROR(AVERAGEIF('Purchase History'!B:B,C18,'Purchase History'!E:E),"")</f>
        <v/>
      </c>
      <c r="H18" s="6" t="s">
        <v>196</v>
      </c>
      <c r="I18" s="6" t="s">
        <v>197</v>
      </c>
      <c r="J18" s="6"/>
      <c r="K18" s="6"/>
    </row>
    <row r="19" spans="1:11" ht="18" customHeight="1" x14ac:dyDescent="0.25">
      <c r="A19" s="6" t="s">
        <v>198</v>
      </c>
      <c r="B19" s="6" t="s">
        <v>187</v>
      </c>
      <c r="C19" s="6" t="s">
        <v>199</v>
      </c>
      <c r="D19" s="9" t="s">
        <v>28</v>
      </c>
      <c r="E19" s="8">
        <v>2</v>
      </c>
      <c r="F19" s="13">
        <v>1880</v>
      </c>
      <c r="G19" s="8" t="str">
        <f>IFERROR(AVERAGEIF('Purchase History'!B:B,C19,'Purchase History'!E:E),"")</f>
        <v/>
      </c>
      <c r="H19" s="6" t="s">
        <v>200</v>
      </c>
      <c r="I19" s="6" t="s">
        <v>201</v>
      </c>
      <c r="J19" s="6"/>
      <c r="K19" s="6"/>
    </row>
    <row r="20" spans="1:11" ht="18" customHeight="1" x14ac:dyDescent="0.25">
      <c r="A20" s="6" t="s">
        <v>202</v>
      </c>
      <c r="B20" s="6" t="s">
        <v>203</v>
      </c>
      <c r="C20" s="6" t="s">
        <v>204</v>
      </c>
      <c r="D20" s="9" t="s">
        <v>28</v>
      </c>
      <c r="E20" s="8">
        <v>2</v>
      </c>
      <c r="F20" s="13">
        <v>1870</v>
      </c>
      <c r="G20" s="8" t="str">
        <f>IFERROR(AVERAGEIF('Purchase History'!B:B,C20,'Purchase History'!E:E),"")</f>
        <v/>
      </c>
      <c r="H20" s="6" t="s">
        <v>205</v>
      </c>
      <c r="I20" s="6" t="s">
        <v>206</v>
      </c>
      <c r="J20" s="6"/>
      <c r="K20" s="6"/>
    </row>
    <row r="21" spans="1:11" ht="18" customHeight="1" x14ac:dyDescent="0.25">
      <c r="A21" s="6" t="s">
        <v>207</v>
      </c>
      <c r="B21" s="6" t="s">
        <v>208</v>
      </c>
      <c r="C21" s="6" t="s">
        <v>209</v>
      </c>
      <c r="D21" s="9" t="s">
        <v>28</v>
      </c>
      <c r="E21" s="8">
        <v>2</v>
      </c>
      <c r="F21" s="13">
        <v>1860</v>
      </c>
      <c r="G21" s="8" t="str">
        <f>IFERROR(AVERAGEIF('Purchase History'!B:B,C21,'Purchase History'!E:E),"")</f>
        <v/>
      </c>
      <c r="H21" s="6" t="s">
        <v>210</v>
      </c>
      <c r="I21" s="6" t="s">
        <v>211</v>
      </c>
      <c r="J21" s="6"/>
      <c r="K21" s="6"/>
    </row>
    <row r="22" spans="1:11" ht="18" customHeight="1" x14ac:dyDescent="0.25">
      <c r="A22" s="6" t="s">
        <v>212</v>
      </c>
      <c r="B22" s="6" t="s">
        <v>213</v>
      </c>
      <c r="C22" s="6" t="s">
        <v>214</v>
      </c>
      <c r="D22" s="9" t="s">
        <v>28</v>
      </c>
      <c r="E22" s="8">
        <v>2</v>
      </c>
      <c r="F22" s="13">
        <v>1850</v>
      </c>
      <c r="G22" s="8" t="str">
        <f>IFERROR(AVERAGEIF('Purchase History'!B:B,C22,'Purchase History'!E:E),"")</f>
        <v/>
      </c>
      <c r="H22" s="6" t="s">
        <v>215</v>
      </c>
      <c r="I22" s="6" t="s">
        <v>216</v>
      </c>
      <c r="J22" s="6"/>
      <c r="K22" s="6"/>
    </row>
    <row r="23" spans="1:11" ht="18" customHeight="1" x14ac:dyDescent="0.25">
      <c r="A23" s="6" t="s">
        <v>217</v>
      </c>
      <c r="B23" s="6" t="s">
        <v>218</v>
      </c>
      <c r="C23" s="6" t="s">
        <v>217</v>
      </c>
      <c r="D23" s="9" t="s">
        <v>28</v>
      </c>
      <c r="E23" s="8">
        <v>2</v>
      </c>
      <c r="F23" s="13">
        <v>1840</v>
      </c>
      <c r="G23" s="8" t="str">
        <f>IFERROR(AVERAGEIF('Purchase History'!B:B,C23,'Purchase History'!E:E),"")</f>
        <v/>
      </c>
      <c r="H23" s="6" t="s">
        <v>219</v>
      </c>
      <c r="I23" s="6" t="s">
        <v>220</v>
      </c>
      <c r="J23" s="6"/>
      <c r="K23" s="6"/>
    </row>
    <row r="24" spans="1:11" ht="18" customHeight="1" x14ac:dyDescent="0.25">
      <c r="A24" s="6" t="s">
        <v>221</v>
      </c>
      <c r="B24" s="6" t="s">
        <v>203</v>
      </c>
      <c r="C24" s="6" t="s">
        <v>222</v>
      </c>
      <c r="D24" s="9" t="s">
        <v>28</v>
      </c>
      <c r="E24" s="8">
        <v>2</v>
      </c>
      <c r="F24" s="13">
        <v>1830</v>
      </c>
      <c r="G24" s="8" t="str">
        <f>IFERROR(AVERAGEIF('Purchase History'!B:B,C24,'Purchase History'!E:E),"")</f>
        <v/>
      </c>
      <c r="H24" s="6" t="s">
        <v>223</v>
      </c>
      <c r="I24" s="6" t="s">
        <v>224</v>
      </c>
      <c r="J24" s="6"/>
      <c r="K24" s="6"/>
    </row>
    <row r="25" spans="1:11" ht="18" customHeight="1" x14ac:dyDescent="0.25">
      <c r="A25" s="6" t="s">
        <v>225</v>
      </c>
      <c r="B25" s="6" t="s">
        <v>226</v>
      </c>
      <c r="C25" s="6" t="s">
        <v>225</v>
      </c>
      <c r="D25" s="9" t="s">
        <v>28</v>
      </c>
      <c r="E25" s="8">
        <v>2</v>
      </c>
      <c r="F25" s="13">
        <v>1820</v>
      </c>
      <c r="G25" s="8" t="str">
        <f>IFERROR(AVERAGEIF('Purchase History'!B:B,C25,'Purchase History'!E:E),"")</f>
        <v/>
      </c>
      <c r="H25" s="6" t="s">
        <v>227</v>
      </c>
      <c r="I25" s="6" t="s">
        <v>228</v>
      </c>
      <c r="J25" s="6"/>
      <c r="K25" s="6"/>
    </row>
    <row r="26" spans="1:11" ht="18" customHeight="1" x14ac:dyDescent="0.25">
      <c r="A26" s="6" t="s">
        <v>229</v>
      </c>
      <c r="B26" s="6" t="s">
        <v>230</v>
      </c>
      <c r="C26" s="6" t="s">
        <v>231</v>
      </c>
      <c r="D26" s="9" t="s">
        <v>28</v>
      </c>
      <c r="E26" s="8">
        <v>2</v>
      </c>
      <c r="F26" s="13">
        <v>1810</v>
      </c>
      <c r="G26" s="8" t="str">
        <f>IFERROR(AVERAGEIF('Purchase History'!B:B,C26,'Purchase History'!E:E),"")</f>
        <v/>
      </c>
      <c r="H26" s="6" t="s">
        <v>232</v>
      </c>
      <c r="I26" s="6" t="s">
        <v>233</v>
      </c>
      <c r="J26" s="6"/>
      <c r="K26" s="6"/>
    </row>
    <row r="27" spans="1:11" ht="18" customHeight="1" x14ac:dyDescent="0.25">
      <c r="A27" s="6" t="s">
        <v>234</v>
      </c>
      <c r="B27" s="6">
        <v>151</v>
      </c>
      <c r="C27" s="6" t="s">
        <v>235</v>
      </c>
      <c r="D27" s="9" t="s">
        <v>28</v>
      </c>
      <c r="E27" s="8">
        <v>2</v>
      </c>
      <c r="F27" s="13">
        <v>1800</v>
      </c>
      <c r="G27" s="8" t="str">
        <f>IFERROR(AVERAGEIF('Purchase History'!B:B,C27,'Purchase History'!E:E),"")</f>
        <v/>
      </c>
      <c r="H27" s="6" t="s">
        <v>29</v>
      </c>
      <c r="I27" s="6" t="s">
        <v>236</v>
      </c>
      <c r="J27" s="6"/>
      <c r="K27" s="6"/>
    </row>
    <row r="28" spans="1:11" ht="18" customHeight="1" x14ac:dyDescent="0.25">
      <c r="A28" s="6" t="s">
        <v>237</v>
      </c>
      <c r="B28" s="6" t="s">
        <v>238</v>
      </c>
      <c r="C28" s="6" t="s">
        <v>239</v>
      </c>
      <c r="D28" s="9" t="s">
        <v>28</v>
      </c>
      <c r="E28" s="8">
        <v>2</v>
      </c>
      <c r="F28" s="13">
        <v>1790</v>
      </c>
      <c r="G28" s="8" t="str">
        <f>IFERROR(AVERAGEIF('Purchase History'!B:B,C28,'Purchase History'!E:E),"")</f>
        <v/>
      </c>
      <c r="H28" s="6" t="s">
        <v>240</v>
      </c>
      <c r="I28" s="6" t="s">
        <v>241</v>
      </c>
      <c r="J28" s="6"/>
      <c r="K28" s="6"/>
    </row>
    <row r="29" spans="1:11" ht="18" customHeight="1" x14ac:dyDescent="0.25">
      <c r="A29" s="6" t="s">
        <v>242</v>
      </c>
      <c r="B29" s="6" t="s">
        <v>243</v>
      </c>
      <c r="C29" s="6" t="s">
        <v>244</v>
      </c>
      <c r="D29" s="9" t="s">
        <v>28</v>
      </c>
      <c r="E29" s="8">
        <v>2</v>
      </c>
      <c r="F29" s="13">
        <v>1780</v>
      </c>
      <c r="G29" s="8" t="str">
        <f>IFERROR(AVERAGEIF('Purchase History'!B:B,C29,'Purchase History'!E:E),"")</f>
        <v/>
      </c>
      <c r="H29" s="6" t="s">
        <v>245</v>
      </c>
      <c r="I29" s="6" t="s">
        <v>246</v>
      </c>
      <c r="J29" s="6"/>
      <c r="K29" s="6"/>
    </row>
    <row r="30" spans="1:11" ht="18" customHeight="1" x14ac:dyDescent="0.25">
      <c r="A30" s="6" t="s">
        <v>247</v>
      </c>
      <c r="B30" s="6" t="s">
        <v>248</v>
      </c>
      <c r="C30" s="6" t="s">
        <v>249</v>
      </c>
      <c r="D30" s="9" t="s">
        <v>28</v>
      </c>
      <c r="E30" s="8">
        <v>2</v>
      </c>
      <c r="F30" s="13">
        <v>1770</v>
      </c>
      <c r="G30" s="8" t="str">
        <f>IFERROR(AVERAGEIF('Purchase History'!B:B,C30,'Purchase History'!E:E),"")</f>
        <v/>
      </c>
      <c r="H30" s="6" t="s">
        <v>250</v>
      </c>
      <c r="I30" s="6" t="s">
        <v>251</v>
      </c>
      <c r="J30" s="6"/>
      <c r="K30" s="6"/>
    </row>
    <row r="31" spans="1:11" ht="18" customHeight="1" x14ac:dyDescent="0.25">
      <c r="A31" s="6" t="s">
        <v>252</v>
      </c>
      <c r="B31" s="6" t="s">
        <v>253</v>
      </c>
      <c r="C31" s="6" t="s">
        <v>254</v>
      </c>
      <c r="D31" s="9" t="s">
        <v>28</v>
      </c>
      <c r="E31" s="8">
        <v>2</v>
      </c>
      <c r="F31" s="13">
        <v>1760</v>
      </c>
      <c r="G31" s="8" t="str">
        <f>IFERROR(AVERAGEIF('Purchase History'!B:B,C31,'Purchase History'!E:E),"")</f>
        <v/>
      </c>
      <c r="H31" s="6" t="s">
        <v>255</v>
      </c>
      <c r="I31" s="6" t="s">
        <v>256</v>
      </c>
      <c r="J31" s="6"/>
      <c r="K31" s="6"/>
    </row>
    <row r="32" spans="1:11" ht="18" customHeight="1" x14ac:dyDescent="0.25">
      <c r="A32" s="6" t="s">
        <v>257</v>
      </c>
      <c r="B32" s="6" t="s">
        <v>153</v>
      </c>
      <c r="C32" s="6" t="s">
        <v>258</v>
      </c>
      <c r="D32" s="9" t="s">
        <v>28</v>
      </c>
      <c r="E32" s="8">
        <v>2</v>
      </c>
      <c r="F32" s="13">
        <v>1750</v>
      </c>
      <c r="G32" s="8"/>
      <c r="H32" s="6" t="s">
        <v>259</v>
      </c>
      <c r="I32" s="6" t="s">
        <v>260</v>
      </c>
      <c r="J32" s="6"/>
      <c r="K32" s="6"/>
    </row>
    <row r="33" spans="1:11" ht="18" customHeight="1" x14ac:dyDescent="0.25">
      <c r="A33" s="6" t="s">
        <v>261</v>
      </c>
      <c r="B33" s="6" t="s">
        <v>262</v>
      </c>
      <c r="C33" s="6" t="s">
        <v>263</v>
      </c>
      <c r="D33" s="9" t="s">
        <v>28</v>
      </c>
      <c r="E33" s="8">
        <v>2</v>
      </c>
      <c r="F33" s="13">
        <v>1740</v>
      </c>
      <c r="G33" s="8"/>
      <c r="H33" s="6" t="s">
        <v>264</v>
      </c>
      <c r="I33" s="6" t="s">
        <v>265</v>
      </c>
      <c r="J33" s="6"/>
      <c r="K33" s="6"/>
    </row>
    <row r="34" spans="1:11" ht="18" customHeight="1" x14ac:dyDescent="0.25">
      <c r="A34" s="6" t="s">
        <v>266</v>
      </c>
      <c r="B34" s="6" t="s">
        <v>203</v>
      </c>
      <c r="C34" s="6" t="s">
        <v>267</v>
      </c>
      <c r="D34" s="9" t="s">
        <v>28</v>
      </c>
      <c r="E34" s="8">
        <v>2</v>
      </c>
      <c r="F34" s="13">
        <v>1730</v>
      </c>
      <c r="G34" s="8"/>
      <c r="H34" s="6" t="s">
        <v>268</v>
      </c>
      <c r="I34" s="6" t="s">
        <v>269</v>
      </c>
      <c r="J34" s="6"/>
      <c r="K34" s="6"/>
    </row>
    <row r="35" spans="1:11" ht="18" customHeight="1" x14ac:dyDescent="0.25">
      <c r="A35" s="6" t="s">
        <v>270</v>
      </c>
      <c r="B35" s="6" t="s">
        <v>271</v>
      </c>
      <c r="C35" s="6" t="s">
        <v>272</v>
      </c>
      <c r="D35" s="9" t="s">
        <v>28</v>
      </c>
      <c r="E35" s="8">
        <v>2</v>
      </c>
      <c r="F35" s="13">
        <v>1720</v>
      </c>
      <c r="G35" s="8"/>
      <c r="H35" s="6" t="s">
        <v>273</v>
      </c>
      <c r="I35" s="6" t="s">
        <v>274</v>
      </c>
      <c r="J35" s="6"/>
      <c r="K35" s="6"/>
    </row>
    <row r="36" spans="1:11" ht="18" customHeight="1" x14ac:dyDescent="0.25">
      <c r="A36" s="6" t="s">
        <v>275</v>
      </c>
      <c r="B36" s="6" t="s">
        <v>276</v>
      </c>
      <c r="C36" s="6" t="s">
        <v>277</v>
      </c>
      <c r="D36" s="9" t="s">
        <v>28</v>
      </c>
      <c r="E36" s="8">
        <v>2</v>
      </c>
      <c r="F36" s="13">
        <v>1710</v>
      </c>
      <c r="G36" s="8"/>
      <c r="H36" s="6" t="s">
        <v>278</v>
      </c>
      <c r="I36" s="6" t="s">
        <v>279</v>
      </c>
      <c r="J36" s="6"/>
      <c r="K36" s="6"/>
    </row>
    <row r="37" spans="1:11" ht="18" customHeight="1" x14ac:dyDescent="0.25">
      <c r="A37" s="6" t="s">
        <v>280</v>
      </c>
      <c r="B37" s="6" t="s">
        <v>281</v>
      </c>
      <c r="C37" s="6" t="s">
        <v>282</v>
      </c>
      <c r="D37" s="9" t="s">
        <v>28</v>
      </c>
      <c r="E37" s="8">
        <v>2</v>
      </c>
      <c r="F37" s="13">
        <v>1700</v>
      </c>
      <c r="G37" s="8"/>
      <c r="H37" s="6" t="s">
        <v>283</v>
      </c>
      <c r="I37" s="6" t="s">
        <v>284</v>
      </c>
      <c r="J37" s="6"/>
      <c r="K37" s="6"/>
    </row>
    <row r="38" spans="1:11" ht="18" customHeight="1" x14ac:dyDescent="0.25">
      <c r="A38" s="6" t="s">
        <v>285</v>
      </c>
      <c r="B38" s="6">
        <v>151</v>
      </c>
      <c r="C38" s="6" t="s">
        <v>286</v>
      </c>
      <c r="D38" s="9" t="s">
        <v>28</v>
      </c>
      <c r="E38" s="8">
        <v>2</v>
      </c>
      <c r="F38" s="13">
        <v>1690</v>
      </c>
      <c r="G38" s="8"/>
      <c r="H38" s="6" t="s">
        <v>287</v>
      </c>
      <c r="I38" s="6" t="s">
        <v>288</v>
      </c>
      <c r="J38" s="6"/>
      <c r="K38" s="6"/>
    </row>
    <row r="39" spans="1:11" ht="18" customHeight="1" x14ac:dyDescent="0.25">
      <c r="A39" s="6" t="s">
        <v>289</v>
      </c>
      <c r="B39" s="6" t="s">
        <v>290</v>
      </c>
      <c r="C39" s="6" t="s">
        <v>291</v>
      </c>
      <c r="D39" s="9" t="s">
        <v>28</v>
      </c>
      <c r="E39" s="8">
        <v>2</v>
      </c>
      <c r="F39" s="13">
        <v>1680</v>
      </c>
      <c r="G39" s="8"/>
      <c r="H39" s="6" t="s">
        <v>292</v>
      </c>
      <c r="I39" s="6" t="s">
        <v>293</v>
      </c>
      <c r="J39" s="6"/>
      <c r="K39" s="6"/>
    </row>
    <row r="40" spans="1:11" ht="18" customHeight="1" x14ac:dyDescent="0.25">
      <c r="A40" s="6" t="s">
        <v>294</v>
      </c>
      <c r="B40" s="6" t="s">
        <v>295</v>
      </c>
      <c r="C40" s="6" t="s">
        <v>296</v>
      </c>
      <c r="D40" s="9" t="s">
        <v>28</v>
      </c>
      <c r="E40" s="8">
        <v>2</v>
      </c>
      <c r="F40" s="13">
        <v>1670</v>
      </c>
      <c r="G40" s="8"/>
      <c r="H40" s="6" t="s">
        <v>297</v>
      </c>
      <c r="I40" s="6" t="s">
        <v>298</v>
      </c>
      <c r="J40" s="6"/>
      <c r="K40" s="6"/>
    </row>
    <row r="41" spans="1:11" ht="18" customHeight="1" x14ac:dyDescent="0.25">
      <c r="A41" s="6" t="s">
        <v>299</v>
      </c>
      <c r="B41" s="6" t="s">
        <v>290</v>
      </c>
      <c r="C41" s="6" t="s">
        <v>300</v>
      </c>
      <c r="D41" s="9" t="s">
        <v>28</v>
      </c>
      <c r="E41" s="8">
        <v>2</v>
      </c>
      <c r="F41" s="13">
        <v>1660</v>
      </c>
      <c r="G41" s="8"/>
      <c r="H41" s="6" t="s">
        <v>301</v>
      </c>
      <c r="I41" s="6" t="s">
        <v>302</v>
      </c>
      <c r="J41" s="6"/>
      <c r="K41" s="6"/>
    </row>
    <row r="42" spans="1:11" ht="18" customHeight="1" x14ac:dyDescent="0.25">
      <c r="A42" s="6" t="s">
        <v>303</v>
      </c>
      <c r="B42" s="6" t="s">
        <v>304</v>
      </c>
      <c r="C42" s="6" t="s">
        <v>305</v>
      </c>
      <c r="D42" s="9" t="s">
        <v>28</v>
      </c>
      <c r="E42" s="8">
        <v>2</v>
      </c>
      <c r="F42" s="13">
        <v>1650</v>
      </c>
      <c r="G42" s="8"/>
      <c r="H42" s="6" t="s">
        <v>306</v>
      </c>
      <c r="I42" s="6" t="s">
        <v>307</v>
      </c>
      <c r="J42" s="6"/>
      <c r="K42" s="6"/>
    </row>
    <row r="43" spans="1:11" ht="18" customHeight="1" x14ac:dyDescent="0.25">
      <c r="A43" s="6" t="s">
        <v>308</v>
      </c>
      <c r="B43" s="6" t="s">
        <v>309</v>
      </c>
      <c r="C43" s="6" t="s">
        <v>310</v>
      </c>
      <c r="D43" s="9" t="s">
        <v>28</v>
      </c>
      <c r="E43" s="8">
        <v>2</v>
      </c>
      <c r="F43" s="13">
        <v>1640</v>
      </c>
      <c r="G43" s="8"/>
      <c r="H43" s="6" t="s">
        <v>311</v>
      </c>
      <c r="I43" s="6" t="s">
        <v>312</v>
      </c>
      <c r="J43" s="6"/>
      <c r="K43" s="6"/>
    </row>
    <row r="44" spans="1:11" ht="18" customHeight="1" x14ac:dyDescent="0.25">
      <c r="A44" s="6" t="s">
        <v>313</v>
      </c>
      <c r="B44" s="6" t="s">
        <v>314</v>
      </c>
      <c r="C44" s="6" t="s">
        <v>315</v>
      </c>
      <c r="D44" s="9" t="s">
        <v>28</v>
      </c>
      <c r="E44" s="8">
        <v>2</v>
      </c>
      <c r="F44" s="13">
        <v>1630</v>
      </c>
      <c r="G44" s="8"/>
      <c r="H44" s="6" t="s">
        <v>316</v>
      </c>
      <c r="I44" s="6" t="s">
        <v>317</v>
      </c>
      <c r="J44" s="6"/>
      <c r="K44" s="6"/>
    </row>
    <row r="45" spans="1:11" ht="18" customHeight="1" x14ac:dyDescent="0.25">
      <c r="A45" s="6" t="s">
        <v>318</v>
      </c>
      <c r="B45" s="6" t="s">
        <v>309</v>
      </c>
      <c r="C45" s="6" t="s">
        <v>319</v>
      </c>
      <c r="D45" s="9" t="s">
        <v>28</v>
      </c>
      <c r="E45" s="8">
        <v>2</v>
      </c>
      <c r="F45" s="13">
        <v>1620</v>
      </c>
      <c r="G45" s="8"/>
      <c r="H45" s="6" t="s">
        <v>320</v>
      </c>
      <c r="I45" s="6" t="s">
        <v>321</v>
      </c>
      <c r="J45" s="6"/>
      <c r="K45" s="6"/>
    </row>
    <row r="46" spans="1:11" ht="18" customHeight="1" x14ac:dyDescent="0.25">
      <c r="A46" s="6" t="s">
        <v>322</v>
      </c>
      <c r="B46" s="6" t="s">
        <v>323</v>
      </c>
      <c r="C46" s="6" t="s">
        <v>324</v>
      </c>
      <c r="D46" s="9" t="s">
        <v>28</v>
      </c>
      <c r="E46" s="8">
        <v>2</v>
      </c>
      <c r="F46" s="13">
        <v>1610</v>
      </c>
      <c r="G46" s="8"/>
      <c r="H46" s="6" t="s">
        <v>325</v>
      </c>
      <c r="I46" s="6" t="s">
        <v>326</v>
      </c>
      <c r="J46" s="6"/>
      <c r="K46" s="6"/>
    </row>
    <row r="47" spans="1:11" ht="18" customHeight="1" x14ac:dyDescent="0.25">
      <c r="A47" s="6" t="s">
        <v>327</v>
      </c>
      <c r="B47" s="6">
        <v>151</v>
      </c>
      <c r="C47" s="6" t="s">
        <v>27</v>
      </c>
      <c r="D47" s="9" t="s">
        <v>28</v>
      </c>
      <c r="E47" s="8">
        <v>2</v>
      </c>
      <c r="F47" s="13">
        <v>1600</v>
      </c>
      <c r="G47" s="8"/>
      <c r="H47" s="6" t="s">
        <v>328</v>
      </c>
      <c r="I47" s="6" t="s">
        <v>329</v>
      </c>
      <c r="J47" s="6"/>
      <c r="K47" s="6"/>
    </row>
    <row r="48" spans="1:11" ht="18" customHeight="1" x14ac:dyDescent="0.25">
      <c r="A48" s="6" t="s">
        <v>330</v>
      </c>
      <c r="B48" s="6" t="s">
        <v>187</v>
      </c>
      <c r="C48" s="6" t="s">
        <v>331</v>
      </c>
      <c r="D48" s="9" t="s">
        <v>28</v>
      </c>
      <c r="E48" s="8">
        <v>2</v>
      </c>
      <c r="F48" s="13">
        <v>1590</v>
      </c>
      <c r="G48" s="8"/>
      <c r="H48" s="6" t="s">
        <v>332</v>
      </c>
      <c r="I48" s="6" t="s">
        <v>333</v>
      </c>
      <c r="J48" s="6"/>
      <c r="K48" s="6"/>
    </row>
    <row r="49" spans="1:11" ht="18" customHeight="1" x14ac:dyDescent="0.25">
      <c r="A49" s="6" t="s">
        <v>334</v>
      </c>
      <c r="B49" s="6" t="s">
        <v>323</v>
      </c>
      <c r="C49" s="6" t="s">
        <v>335</v>
      </c>
      <c r="D49" s="9" t="s">
        <v>28</v>
      </c>
      <c r="E49" s="8">
        <v>2</v>
      </c>
      <c r="F49" s="13">
        <v>1580</v>
      </c>
      <c r="G49" s="8"/>
      <c r="H49" s="6" t="s">
        <v>336</v>
      </c>
      <c r="I49" s="6" t="s">
        <v>337</v>
      </c>
      <c r="J49" s="6"/>
      <c r="K49" s="6"/>
    </row>
    <row r="50" spans="1:11" ht="18" customHeight="1" x14ac:dyDescent="0.25">
      <c r="A50" s="6" t="s">
        <v>338</v>
      </c>
      <c r="B50" s="6" t="s">
        <v>323</v>
      </c>
      <c r="C50" s="6" t="s">
        <v>338</v>
      </c>
      <c r="D50" s="9" t="s">
        <v>28</v>
      </c>
      <c r="E50" s="8">
        <v>2</v>
      </c>
      <c r="F50" s="13">
        <v>1570</v>
      </c>
      <c r="G50" s="8"/>
      <c r="H50" s="6" t="s">
        <v>339</v>
      </c>
      <c r="I50" s="6" t="s">
        <v>340</v>
      </c>
      <c r="J50" s="6"/>
      <c r="K50" s="6"/>
    </row>
    <row r="51" spans="1:11" ht="18" customHeight="1" x14ac:dyDescent="0.25">
      <c r="A51" s="6" t="s">
        <v>341</v>
      </c>
      <c r="B51" s="6" t="s">
        <v>342</v>
      </c>
      <c r="C51" s="6" t="s">
        <v>341</v>
      </c>
      <c r="D51" s="9" t="s">
        <v>28</v>
      </c>
      <c r="E51" s="8">
        <v>2</v>
      </c>
      <c r="F51" s="13">
        <v>1560</v>
      </c>
      <c r="G51" s="8"/>
      <c r="H51" s="6" t="s">
        <v>343</v>
      </c>
      <c r="I51" s="6" t="s">
        <v>344</v>
      </c>
      <c r="J51" s="6"/>
      <c r="K51" s="6"/>
    </row>
    <row r="52" spans="1:11" ht="18" customHeight="1" x14ac:dyDescent="0.25">
      <c r="A52" s="6" t="s">
        <v>345</v>
      </c>
      <c r="B52" s="6" t="s">
        <v>203</v>
      </c>
      <c r="C52" s="6" t="s">
        <v>346</v>
      </c>
      <c r="D52" s="9" t="s">
        <v>28</v>
      </c>
      <c r="E52" s="8">
        <v>2</v>
      </c>
      <c r="F52" s="13">
        <v>1550</v>
      </c>
      <c r="G52" s="8"/>
      <c r="H52" s="6" t="s">
        <v>347</v>
      </c>
      <c r="I52" s="6" t="s">
        <v>348</v>
      </c>
      <c r="J52" s="6"/>
      <c r="K52" s="6"/>
    </row>
    <row r="53" spans="1:11" ht="18" customHeight="1" x14ac:dyDescent="0.25">
      <c r="A53" s="6" t="s">
        <v>349</v>
      </c>
      <c r="B53" s="6" t="s">
        <v>176</v>
      </c>
      <c r="C53" s="6" t="s">
        <v>350</v>
      </c>
      <c r="D53" s="9" t="s">
        <v>28</v>
      </c>
      <c r="E53" s="8">
        <v>2</v>
      </c>
      <c r="F53" s="13">
        <v>1540</v>
      </c>
      <c r="G53" s="8"/>
      <c r="H53" s="6" t="s">
        <v>351</v>
      </c>
      <c r="I53" s="6" t="s">
        <v>352</v>
      </c>
      <c r="J53" s="6"/>
      <c r="K53" s="6"/>
    </row>
    <row r="54" spans="1:11" ht="18" customHeight="1" x14ac:dyDescent="0.25">
      <c r="A54" s="6" t="s">
        <v>353</v>
      </c>
      <c r="B54" s="6" t="s">
        <v>31</v>
      </c>
      <c r="C54" s="6" t="s">
        <v>354</v>
      </c>
      <c r="D54" s="9" t="s">
        <v>28</v>
      </c>
      <c r="E54" s="8">
        <v>2</v>
      </c>
      <c r="F54" s="13">
        <v>1530</v>
      </c>
      <c r="G54" s="8"/>
      <c r="H54" s="6" t="s">
        <v>355</v>
      </c>
      <c r="I54" s="6" t="s">
        <v>356</v>
      </c>
      <c r="J54" s="6"/>
      <c r="K54" s="6"/>
    </row>
    <row r="55" spans="1:11" ht="18" customHeight="1" x14ac:dyDescent="0.25">
      <c r="A55" s="6" t="s">
        <v>357</v>
      </c>
      <c r="B55" s="6" t="s">
        <v>323</v>
      </c>
      <c r="C55" s="6" t="s">
        <v>357</v>
      </c>
      <c r="D55" s="9" t="s">
        <v>28</v>
      </c>
      <c r="E55" s="8">
        <v>2</v>
      </c>
      <c r="F55" s="13">
        <v>1520</v>
      </c>
      <c r="G55" s="8"/>
      <c r="H55" s="6" t="s">
        <v>358</v>
      </c>
      <c r="I55" s="6" t="s">
        <v>359</v>
      </c>
      <c r="J55" s="6"/>
      <c r="K55" s="6"/>
    </row>
    <row r="56" spans="1:11" ht="18" customHeight="1" x14ac:dyDescent="0.25">
      <c r="A56" s="6" t="s">
        <v>360</v>
      </c>
      <c r="B56" s="6" t="s">
        <v>361</v>
      </c>
      <c r="C56" s="6" t="s">
        <v>362</v>
      </c>
      <c r="D56" s="9" t="s">
        <v>28</v>
      </c>
      <c r="E56" s="8">
        <v>2</v>
      </c>
      <c r="F56" s="13">
        <v>1510</v>
      </c>
      <c r="G56" s="8"/>
      <c r="H56" s="6" t="s">
        <v>363</v>
      </c>
      <c r="I56" s="6" t="s">
        <v>364</v>
      </c>
      <c r="J56" s="6"/>
      <c r="K56" s="6"/>
    </row>
    <row r="57" spans="1:11" ht="18" customHeight="1" x14ac:dyDescent="0.25">
      <c r="A57" s="6" t="s">
        <v>365</v>
      </c>
      <c r="B57" s="6" t="s">
        <v>323</v>
      </c>
      <c r="C57" s="6" t="s">
        <v>365</v>
      </c>
      <c r="D57" s="9" t="s">
        <v>28</v>
      </c>
      <c r="E57" s="8">
        <v>2</v>
      </c>
      <c r="F57" s="13">
        <v>1500</v>
      </c>
      <c r="G57" s="8"/>
      <c r="H57" s="6" t="s">
        <v>366</v>
      </c>
      <c r="I57" s="6" t="s">
        <v>367</v>
      </c>
      <c r="J57" s="6"/>
      <c r="K57" s="6"/>
    </row>
    <row r="58" spans="1:11" ht="18" customHeight="1" x14ac:dyDescent="0.25">
      <c r="A58" s="6" t="s">
        <v>368</v>
      </c>
      <c r="B58" s="6" t="s">
        <v>153</v>
      </c>
      <c r="C58" s="6" t="s">
        <v>369</v>
      </c>
      <c r="D58" s="9" t="s">
        <v>28</v>
      </c>
      <c r="E58" s="8">
        <v>2</v>
      </c>
      <c r="F58" s="13">
        <v>1490</v>
      </c>
      <c r="G58" s="8"/>
      <c r="H58" s="6" t="s">
        <v>370</v>
      </c>
      <c r="I58" s="6" t="s">
        <v>371</v>
      </c>
      <c r="J58" s="6"/>
      <c r="K58" s="6"/>
    </row>
    <row r="59" spans="1:11" ht="18" customHeight="1" x14ac:dyDescent="0.25">
      <c r="A59" s="6" t="s">
        <v>372</v>
      </c>
      <c r="B59" s="6" t="s">
        <v>314</v>
      </c>
      <c r="C59" s="6" t="s">
        <v>372</v>
      </c>
      <c r="D59" s="9" t="s">
        <v>28</v>
      </c>
      <c r="E59" s="8">
        <v>2</v>
      </c>
      <c r="F59" s="13">
        <v>1480</v>
      </c>
      <c r="G59" s="8"/>
      <c r="H59" s="6" t="s">
        <v>373</v>
      </c>
      <c r="I59" s="6" t="s">
        <v>374</v>
      </c>
      <c r="J59" s="6"/>
      <c r="K59" s="6"/>
    </row>
    <row r="60" spans="1:11" ht="18" customHeight="1" x14ac:dyDescent="0.25">
      <c r="A60" s="6" t="s">
        <v>375</v>
      </c>
      <c r="B60" s="6" t="s">
        <v>376</v>
      </c>
      <c r="C60" s="6" t="s">
        <v>375</v>
      </c>
      <c r="D60" s="9" t="s">
        <v>28</v>
      </c>
      <c r="E60" s="8">
        <v>2</v>
      </c>
      <c r="F60" s="13">
        <v>1470</v>
      </c>
      <c r="G60" s="8"/>
      <c r="H60" s="6" t="s">
        <v>377</v>
      </c>
      <c r="I60" s="6" t="s">
        <v>378</v>
      </c>
      <c r="J60" s="6"/>
      <c r="K60" s="6"/>
    </row>
    <row r="61" spans="1:11" ht="18" customHeight="1" x14ac:dyDescent="0.25">
      <c r="A61" s="6" t="s">
        <v>379</v>
      </c>
      <c r="B61" s="6" t="s">
        <v>187</v>
      </c>
      <c r="C61" s="6" t="s">
        <v>379</v>
      </c>
      <c r="D61" s="9" t="s">
        <v>28</v>
      </c>
      <c r="E61" s="8">
        <v>2</v>
      </c>
      <c r="F61" s="13">
        <v>1460</v>
      </c>
      <c r="G61" s="8"/>
      <c r="H61" s="6" t="s">
        <v>380</v>
      </c>
      <c r="I61" s="6" t="s">
        <v>381</v>
      </c>
      <c r="J61" s="6"/>
      <c r="K61" s="6"/>
    </row>
    <row r="62" spans="1:11" ht="18" customHeight="1" x14ac:dyDescent="0.25">
      <c r="A62" s="6" t="s">
        <v>382</v>
      </c>
      <c r="B62" s="6" t="s">
        <v>171</v>
      </c>
      <c r="C62" s="6" t="s">
        <v>383</v>
      </c>
      <c r="D62" s="9" t="s">
        <v>28</v>
      </c>
      <c r="E62" s="8">
        <v>2</v>
      </c>
      <c r="F62" s="13">
        <v>1450</v>
      </c>
      <c r="G62" s="8"/>
      <c r="H62" s="6" t="s">
        <v>384</v>
      </c>
      <c r="I62" s="6" t="s">
        <v>385</v>
      </c>
      <c r="J62" s="6"/>
      <c r="K62" s="6"/>
    </row>
    <row r="63" spans="1:11" ht="18" customHeight="1" x14ac:dyDescent="0.25">
      <c r="A63" s="6" t="s">
        <v>386</v>
      </c>
      <c r="B63" s="6" t="s">
        <v>323</v>
      </c>
      <c r="C63" s="6" t="s">
        <v>386</v>
      </c>
      <c r="D63" s="9" t="s">
        <v>28</v>
      </c>
      <c r="E63" s="8">
        <v>2</v>
      </c>
      <c r="F63" s="13">
        <v>1440</v>
      </c>
      <c r="G63" s="8"/>
      <c r="H63" s="6" t="s">
        <v>387</v>
      </c>
      <c r="I63" s="6" t="s">
        <v>388</v>
      </c>
      <c r="J63" s="6"/>
      <c r="K63" s="6"/>
    </row>
    <row r="64" spans="1:11" ht="18" customHeight="1" x14ac:dyDescent="0.25">
      <c r="A64" s="6" t="s">
        <v>389</v>
      </c>
      <c r="B64" s="6" t="s">
        <v>314</v>
      </c>
      <c r="C64" s="6" t="s">
        <v>389</v>
      </c>
      <c r="D64" s="9" t="s">
        <v>28</v>
      </c>
      <c r="E64" s="8">
        <v>2</v>
      </c>
      <c r="F64" s="13">
        <v>1430</v>
      </c>
      <c r="G64" s="8"/>
      <c r="H64" s="6" t="s">
        <v>390</v>
      </c>
      <c r="I64" s="6" t="s">
        <v>391</v>
      </c>
      <c r="J64" s="6"/>
      <c r="K64" s="6"/>
    </row>
    <row r="65" spans="1:11" ht="18" customHeight="1" x14ac:dyDescent="0.25">
      <c r="A65" s="6" t="s">
        <v>392</v>
      </c>
      <c r="B65" s="6" t="s">
        <v>238</v>
      </c>
      <c r="C65" s="6" t="s">
        <v>393</v>
      </c>
      <c r="D65" s="9" t="s">
        <v>28</v>
      </c>
      <c r="E65" s="8">
        <v>2</v>
      </c>
      <c r="F65" s="13">
        <v>1420</v>
      </c>
      <c r="G65" s="8"/>
      <c r="H65" s="6" t="s">
        <v>394</v>
      </c>
      <c r="I65" s="6" t="s">
        <v>395</v>
      </c>
      <c r="J65" s="6"/>
      <c r="K65" s="6"/>
    </row>
    <row r="66" spans="1:11" ht="18" customHeight="1" x14ac:dyDescent="0.25">
      <c r="A66" s="6" t="s">
        <v>396</v>
      </c>
      <c r="B66" s="6" t="s">
        <v>176</v>
      </c>
      <c r="C66" s="6" t="s">
        <v>397</v>
      </c>
      <c r="D66" s="9" t="s">
        <v>28</v>
      </c>
      <c r="E66" s="8">
        <v>2</v>
      </c>
      <c r="F66" s="13">
        <v>1410</v>
      </c>
      <c r="G66" s="8"/>
      <c r="H66" s="6" t="s">
        <v>398</v>
      </c>
      <c r="I66" s="6" t="s">
        <v>399</v>
      </c>
      <c r="J66" s="6"/>
      <c r="K66" s="6"/>
    </row>
    <row r="67" spans="1:11" ht="18" customHeight="1" x14ac:dyDescent="0.25">
      <c r="A67" s="6" t="s">
        <v>400</v>
      </c>
      <c r="B67" s="6">
        <v>151</v>
      </c>
      <c r="C67" s="6" t="s">
        <v>400</v>
      </c>
      <c r="D67" s="9" t="s">
        <v>28</v>
      </c>
      <c r="E67" s="8">
        <v>2</v>
      </c>
      <c r="F67" s="13">
        <v>1400</v>
      </c>
      <c r="G67" s="8"/>
      <c r="H67" s="6" t="s">
        <v>401</v>
      </c>
      <c r="I67" s="6" t="s">
        <v>402</v>
      </c>
      <c r="J67" s="6"/>
      <c r="K67" s="6"/>
    </row>
    <row r="68" spans="1:11" ht="18" customHeight="1" x14ac:dyDescent="0.25">
      <c r="A68" s="6" t="s">
        <v>403</v>
      </c>
      <c r="B68" s="6" t="s">
        <v>314</v>
      </c>
      <c r="C68" s="6" t="s">
        <v>403</v>
      </c>
      <c r="D68" s="9" t="s">
        <v>28</v>
      </c>
      <c r="E68" s="8">
        <v>2</v>
      </c>
      <c r="F68" s="13">
        <v>1390</v>
      </c>
      <c r="G68" s="8"/>
      <c r="H68" s="6" t="s">
        <v>404</v>
      </c>
      <c r="I68" s="6" t="s">
        <v>405</v>
      </c>
      <c r="J68" s="6"/>
      <c r="K68" s="6"/>
    </row>
    <row r="69" spans="1:11" ht="18" customHeight="1" x14ac:dyDescent="0.25">
      <c r="A69" s="6" t="s">
        <v>406</v>
      </c>
      <c r="B69" s="6" t="s">
        <v>314</v>
      </c>
      <c r="C69" s="6" t="s">
        <v>406</v>
      </c>
      <c r="D69" s="9" t="s">
        <v>28</v>
      </c>
      <c r="E69" s="8">
        <v>2</v>
      </c>
      <c r="F69" s="13">
        <v>1380</v>
      </c>
      <c r="G69" s="8"/>
      <c r="H69" s="6" t="s">
        <v>407</v>
      </c>
      <c r="I69" s="6" t="s">
        <v>408</v>
      </c>
      <c r="J69" s="6"/>
      <c r="K69" s="6"/>
    </row>
    <row r="70" spans="1:11" ht="18" customHeight="1" x14ac:dyDescent="0.25">
      <c r="A70" s="6" t="s">
        <v>409</v>
      </c>
      <c r="B70" s="6" t="s">
        <v>181</v>
      </c>
      <c r="C70" s="6" t="s">
        <v>409</v>
      </c>
      <c r="D70" s="9" t="s">
        <v>28</v>
      </c>
      <c r="E70" s="8">
        <v>2</v>
      </c>
      <c r="F70" s="13">
        <v>1370</v>
      </c>
      <c r="G70" s="8"/>
      <c r="H70" s="6" t="s">
        <v>410</v>
      </c>
      <c r="I70" s="6" t="s">
        <v>411</v>
      </c>
      <c r="J70" s="6"/>
      <c r="K70" s="6"/>
    </row>
    <row r="71" spans="1:11" ht="18" customHeight="1" x14ac:dyDescent="0.25">
      <c r="A71" s="6" t="s">
        <v>412</v>
      </c>
      <c r="B71" s="6" t="s">
        <v>413</v>
      </c>
      <c r="C71" s="6" t="s">
        <v>412</v>
      </c>
      <c r="D71" s="9" t="s">
        <v>28</v>
      </c>
      <c r="E71" s="8">
        <v>2</v>
      </c>
      <c r="F71" s="13">
        <v>1360</v>
      </c>
      <c r="G71" s="8"/>
      <c r="H71" s="6" t="s">
        <v>414</v>
      </c>
      <c r="I71" s="6" t="s">
        <v>415</v>
      </c>
      <c r="J71" s="6"/>
      <c r="K71" s="6"/>
    </row>
    <row r="72" spans="1:11" ht="18" customHeight="1" x14ac:dyDescent="0.25">
      <c r="A72" s="6" t="s">
        <v>416</v>
      </c>
      <c r="B72" s="6" t="s">
        <v>361</v>
      </c>
      <c r="C72" s="6" t="s">
        <v>417</v>
      </c>
      <c r="D72" s="9" t="s">
        <v>28</v>
      </c>
      <c r="E72" s="8">
        <v>2</v>
      </c>
      <c r="F72" s="13">
        <v>1350</v>
      </c>
      <c r="G72" s="8"/>
      <c r="H72" s="6" t="s">
        <v>418</v>
      </c>
      <c r="I72" s="6" t="s">
        <v>419</v>
      </c>
      <c r="J72" s="6"/>
      <c r="K72" s="6"/>
    </row>
    <row r="73" spans="1:11" ht="18" customHeight="1" x14ac:dyDescent="0.25">
      <c r="A73" s="6" t="s">
        <v>420</v>
      </c>
      <c r="B73" s="6" t="s">
        <v>187</v>
      </c>
      <c r="C73" s="6" t="s">
        <v>420</v>
      </c>
      <c r="D73" s="9" t="s">
        <v>28</v>
      </c>
      <c r="E73" s="8">
        <v>2</v>
      </c>
      <c r="F73" s="13">
        <v>1340</v>
      </c>
      <c r="G73" s="8"/>
      <c r="H73" s="6" t="s">
        <v>421</v>
      </c>
      <c r="I73" s="6" t="s">
        <v>422</v>
      </c>
      <c r="J73" s="6"/>
      <c r="K73" s="6"/>
    </row>
    <row r="74" spans="1:11" ht="18" customHeight="1" x14ac:dyDescent="0.25">
      <c r="A74" s="6" t="s">
        <v>423</v>
      </c>
      <c r="B74" s="6" t="s">
        <v>314</v>
      </c>
      <c r="C74" s="6" t="s">
        <v>423</v>
      </c>
      <c r="D74" s="9" t="s">
        <v>28</v>
      </c>
      <c r="E74" s="8">
        <v>2</v>
      </c>
      <c r="F74" s="13">
        <v>1330</v>
      </c>
      <c r="G74" s="8"/>
      <c r="H74" s="6" t="s">
        <v>424</v>
      </c>
      <c r="I74" s="6" t="s">
        <v>425</v>
      </c>
      <c r="J74" s="6"/>
      <c r="K74" s="6"/>
    </row>
    <row r="75" spans="1:11" ht="18" customHeight="1" x14ac:dyDescent="0.25">
      <c r="A75" s="6" t="s">
        <v>426</v>
      </c>
      <c r="B75" s="6" t="s">
        <v>276</v>
      </c>
      <c r="C75" s="6" t="s">
        <v>427</v>
      </c>
      <c r="D75" s="9" t="s">
        <v>28</v>
      </c>
      <c r="E75" s="8">
        <v>2</v>
      </c>
      <c r="F75" s="13">
        <v>1320</v>
      </c>
      <c r="G75" s="8"/>
      <c r="H75" s="6" t="s">
        <v>428</v>
      </c>
      <c r="I75" s="6" t="s">
        <v>429</v>
      </c>
      <c r="J75" s="6"/>
      <c r="K75" s="6"/>
    </row>
    <row r="76" spans="1:11" ht="18" customHeight="1" x14ac:dyDescent="0.25">
      <c r="A76" s="6" t="s">
        <v>430</v>
      </c>
      <c r="B76" s="6" t="s">
        <v>262</v>
      </c>
      <c r="C76" s="6" t="s">
        <v>431</v>
      </c>
      <c r="D76" s="9" t="s">
        <v>28</v>
      </c>
      <c r="E76" s="8">
        <v>2</v>
      </c>
      <c r="F76" s="13">
        <v>1310</v>
      </c>
      <c r="G76" s="8"/>
      <c r="H76" s="6" t="s">
        <v>432</v>
      </c>
      <c r="I76" s="6" t="s">
        <v>433</v>
      </c>
      <c r="J76" s="6"/>
      <c r="K76" s="6"/>
    </row>
    <row r="77" spans="1:11" ht="18" customHeight="1" x14ac:dyDescent="0.25">
      <c r="A77" s="6" t="s">
        <v>434</v>
      </c>
      <c r="B77" s="6" t="s">
        <v>314</v>
      </c>
      <c r="C77" s="6" t="s">
        <v>434</v>
      </c>
      <c r="D77" s="9" t="s">
        <v>28</v>
      </c>
      <c r="E77" s="8">
        <v>2</v>
      </c>
      <c r="F77" s="13">
        <v>1300</v>
      </c>
      <c r="G77" s="8"/>
      <c r="H77" s="6" t="s">
        <v>435</v>
      </c>
      <c r="I77" s="6" t="s">
        <v>436</v>
      </c>
      <c r="J77" s="6"/>
      <c r="K77" s="6"/>
    </row>
    <row r="78" spans="1:11" ht="18" customHeight="1" x14ac:dyDescent="0.25">
      <c r="A78" s="6" t="s">
        <v>437</v>
      </c>
      <c r="B78" s="6" t="s">
        <v>187</v>
      </c>
      <c r="C78" s="6" t="s">
        <v>437</v>
      </c>
      <c r="D78" s="9" t="s">
        <v>28</v>
      </c>
      <c r="E78" s="8">
        <v>2</v>
      </c>
      <c r="F78" s="13">
        <v>1290</v>
      </c>
      <c r="G78" s="8"/>
      <c r="H78" s="6" t="s">
        <v>438</v>
      </c>
      <c r="I78" s="6" t="s">
        <v>439</v>
      </c>
      <c r="J78" s="6"/>
      <c r="K78" s="6"/>
    </row>
    <row r="79" spans="1:11" ht="18" customHeight="1" x14ac:dyDescent="0.25">
      <c r="A79" s="6" t="s">
        <v>440</v>
      </c>
      <c r="B79" s="6" t="s">
        <v>281</v>
      </c>
      <c r="C79" s="6" t="s">
        <v>440</v>
      </c>
      <c r="D79" s="9" t="s">
        <v>28</v>
      </c>
      <c r="E79" s="8">
        <v>2</v>
      </c>
      <c r="F79" s="13">
        <v>1280</v>
      </c>
      <c r="G79" s="8"/>
      <c r="H79" s="6" t="s">
        <v>441</v>
      </c>
      <c r="I79" s="6" t="s">
        <v>442</v>
      </c>
      <c r="J79" s="6"/>
      <c r="K79" s="6"/>
    </row>
    <row r="80" spans="1:11" ht="18" customHeight="1" x14ac:dyDescent="0.25">
      <c r="A80" s="6" t="s">
        <v>443</v>
      </c>
      <c r="B80" s="6" t="s">
        <v>171</v>
      </c>
      <c r="C80" s="6" t="s">
        <v>443</v>
      </c>
      <c r="D80" s="9" t="s">
        <v>28</v>
      </c>
      <c r="E80" s="8">
        <v>2</v>
      </c>
      <c r="F80" s="13">
        <v>1270</v>
      </c>
      <c r="G80" s="8"/>
      <c r="H80" s="6" t="s">
        <v>444</v>
      </c>
      <c r="I80" s="6" t="s">
        <v>445</v>
      </c>
      <c r="J80" s="6"/>
      <c r="K80" s="6"/>
    </row>
    <row r="81" spans="1:11" ht="18" customHeight="1" x14ac:dyDescent="0.25">
      <c r="A81" s="6" t="s">
        <v>446</v>
      </c>
      <c r="B81" s="6" t="s">
        <v>314</v>
      </c>
      <c r="C81" s="6" t="s">
        <v>446</v>
      </c>
      <c r="D81" s="9" t="s">
        <v>28</v>
      </c>
      <c r="E81" s="8">
        <v>2</v>
      </c>
      <c r="F81" s="13">
        <v>1260</v>
      </c>
      <c r="G81" s="8"/>
      <c r="H81" s="6" t="s">
        <v>447</v>
      </c>
      <c r="I81" s="6" t="s">
        <v>448</v>
      </c>
      <c r="J81" s="6"/>
      <c r="K81" s="6"/>
    </row>
    <row r="82" spans="1:11" ht="18" customHeight="1" x14ac:dyDescent="0.25">
      <c r="A82" s="6" t="s">
        <v>449</v>
      </c>
      <c r="B82" s="6" t="s">
        <v>361</v>
      </c>
      <c r="C82" s="6" t="s">
        <v>450</v>
      </c>
      <c r="D82" s="9" t="s">
        <v>28</v>
      </c>
      <c r="E82" s="8">
        <v>2</v>
      </c>
      <c r="F82" s="13">
        <v>1250</v>
      </c>
      <c r="G82" s="8"/>
      <c r="H82" s="6" t="s">
        <v>451</v>
      </c>
      <c r="I82" s="6" t="s">
        <v>452</v>
      </c>
      <c r="J82" s="6"/>
      <c r="K82" s="6"/>
    </row>
    <row r="83" spans="1:11" ht="18" customHeight="1" x14ac:dyDescent="0.25">
      <c r="A83" s="6" t="s">
        <v>453</v>
      </c>
      <c r="B83" s="6">
        <v>151</v>
      </c>
      <c r="C83" s="6" t="s">
        <v>453</v>
      </c>
      <c r="D83" s="9" t="s">
        <v>28</v>
      </c>
      <c r="E83" s="8">
        <v>2</v>
      </c>
      <c r="F83" s="13">
        <v>1240</v>
      </c>
      <c r="G83" s="8"/>
      <c r="H83" s="6" t="s">
        <v>454</v>
      </c>
      <c r="I83" s="6" t="s">
        <v>455</v>
      </c>
      <c r="J83" s="6"/>
      <c r="K83" s="6"/>
    </row>
    <row r="84" spans="1:11" ht="18" customHeight="1" x14ac:dyDescent="0.25">
      <c r="A84" s="6" t="s">
        <v>456</v>
      </c>
      <c r="B84" s="6" t="s">
        <v>253</v>
      </c>
      <c r="C84" s="6" t="s">
        <v>457</v>
      </c>
      <c r="D84" s="9" t="s">
        <v>28</v>
      </c>
      <c r="E84" s="8">
        <v>2</v>
      </c>
      <c r="F84" s="13">
        <v>1230</v>
      </c>
      <c r="G84" s="8"/>
      <c r="H84" s="6" t="s">
        <v>458</v>
      </c>
      <c r="I84" s="6" t="s">
        <v>459</v>
      </c>
      <c r="J84" s="6"/>
      <c r="K84" s="6"/>
    </row>
    <row r="85" spans="1:11" ht="18" customHeight="1" x14ac:dyDescent="0.25">
      <c r="A85" s="6" t="s">
        <v>460</v>
      </c>
      <c r="B85" s="6" t="s">
        <v>461</v>
      </c>
      <c r="C85" s="6" t="s">
        <v>462</v>
      </c>
      <c r="D85" s="9" t="s">
        <v>28</v>
      </c>
      <c r="E85" s="8">
        <v>2</v>
      </c>
      <c r="F85" s="13">
        <v>1220</v>
      </c>
      <c r="G85" s="8"/>
      <c r="H85" s="6" t="s">
        <v>463</v>
      </c>
      <c r="I85" s="6" t="s">
        <v>464</v>
      </c>
      <c r="J85" s="6"/>
      <c r="K85" s="6"/>
    </row>
    <row r="86" spans="1:11" ht="18" customHeight="1" x14ac:dyDescent="0.25">
      <c r="A86" s="6" t="s">
        <v>465</v>
      </c>
      <c r="B86" s="6" t="s">
        <v>187</v>
      </c>
      <c r="C86" s="6" t="s">
        <v>466</v>
      </c>
      <c r="D86" s="9" t="s">
        <v>28</v>
      </c>
      <c r="E86" s="8">
        <v>2</v>
      </c>
      <c r="F86" s="13">
        <v>1210</v>
      </c>
      <c r="G86" s="8"/>
      <c r="H86" s="6" t="s">
        <v>467</v>
      </c>
      <c r="I86" s="6" t="s">
        <v>468</v>
      </c>
      <c r="J86" s="6"/>
      <c r="K86" s="6"/>
    </row>
    <row r="87" spans="1:11" ht="18" customHeight="1" x14ac:dyDescent="0.25">
      <c r="A87" s="6" t="s">
        <v>469</v>
      </c>
      <c r="B87" s="6" t="s">
        <v>470</v>
      </c>
      <c r="C87" s="6" t="s">
        <v>471</v>
      </c>
      <c r="D87" s="9" t="s">
        <v>28</v>
      </c>
      <c r="E87" s="8">
        <v>2</v>
      </c>
      <c r="F87" s="13">
        <v>1200</v>
      </c>
      <c r="G87" s="8"/>
      <c r="H87" s="6" t="s">
        <v>472</v>
      </c>
      <c r="I87" s="6" t="s">
        <v>473</v>
      </c>
      <c r="J87" s="6"/>
      <c r="K87" s="6"/>
    </row>
    <row r="88" spans="1:11" ht="18" customHeight="1" x14ac:dyDescent="0.25">
      <c r="A88" s="6" t="s">
        <v>474</v>
      </c>
      <c r="B88" s="6" t="s">
        <v>314</v>
      </c>
      <c r="C88" s="6" t="s">
        <v>475</v>
      </c>
      <c r="D88" s="9" t="s">
        <v>28</v>
      </c>
      <c r="E88" s="8">
        <v>2</v>
      </c>
      <c r="F88" s="13">
        <v>1190</v>
      </c>
      <c r="G88" s="8"/>
      <c r="H88" s="6" t="s">
        <v>316</v>
      </c>
      <c r="I88" s="6" t="s">
        <v>476</v>
      </c>
      <c r="J88" s="6"/>
      <c r="K88" s="6"/>
    </row>
    <row r="89" spans="1:11" ht="18" customHeight="1" x14ac:dyDescent="0.25">
      <c r="A89" s="6" t="s">
        <v>477</v>
      </c>
      <c r="B89" s="6" t="s">
        <v>271</v>
      </c>
      <c r="C89" s="6" t="s">
        <v>478</v>
      </c>
      <c r="D89" s="9" t="s">
        <v>28</v>
      </c>
      <c r="E89" s="8">
        <v>2</v>
      </c>
      <c r="F89" s="13">
        <v>1180</v>
      </c>
      <c r="G89" s="8"/>
      <c r="H89" s="6" t="s">
        <v>479</v>
      </c>
      <c r="I89" s="6" t="s">
        <v>480</v>
      </c>
      <c r="J89" s="6"/>
      <c r="K89" s="6"/>
    </row>
    <row r="90" spans="1:11" ht="18" customHeight="1" x14ac:dyDescent="0.25">
      <c r="A90" s="6" t="s">
        <v>481</v>
      </c>
      <c r="B90" s="6" t="s">
        <v>187</v>
      </c>
      <c r="C90" s="6" t="s">
        <v>481</v>
      </c>
      <c r="D90" s="9" t="s">
        <v>28</v>
      </c>
      <c r="E90" s="8">
        <v>2</v>
      </c>
      <c r="F90" s="13">
        <v>1170</v>
      </c>
      <c r="G90" s="8"/>
      <c r="H90" s="6" t="s">
        <v>482</v>
      </c>
      <c r="I90" s="6" t="s">
        <v>483</v>
      </c>
      <c r="J90" s="6"/>
      <c r="K90" s="6"/>
    </row>
    <row r="91" spans="1:11" ht="18" customHeight="1" x14ac:dyDescent="0.25">
      <c r="A91" s="6" t="s">
        <v>484</v>
      </c>
      <c r="B91" s="6">
        <v>151</v>
      </c>
      <c r="C91" s="6" t="s">
        <v>484</v>
      </c>
      <c r="D91" s="9" t="s">
        <v>28</v>
      </c>
      <c r="E91" s="8">
        <v>2</v>
      </c>
      <c r="F91" s="13">
        <v>1160</v>
      </c>
      <c r="G91" s="8"/>
      <c r="H91" s="6" t="s">
        <v>485</v>
      </c>
      <c r="I91" s="6" t="s">
        <v>486</v>
      </c>
      <c r="J91" s="6"/>
      <c r="K91" s="6"/>
    </row>
    <row r="92" spans="1:11" ht="18" customHeight="1" x14ac:dyDescent="0.25">
      <c r="A92" s="6" t="s">
        <v>487</v>
      </c>
      <c r="B92" s="6" t="s">
        <v>461</v>
      </c>
      <c r="C92" s="6" t="s">
        <v>488</v>
      </c>
      <c r="D92" s="9" t="s">
        <v>28</v>
      </c>
      <c r="E92" s="8">
        <v>2</v>
      </c>
      <c r="F92" s="13">
        <v>1150</v>
      </c>
      <c r="G92" s="8"/>
      <c r="H92" s="6" t="s">
        <v>489</v>
      </c>
      <c r="I92" s="6" t="s">
        <v>490</v>
      </c>
      <c r="J92" s="6"/>
      <c r="K92" s="6"/>
    </row>
    <row r="93" spans="1:11" ht="18" customHeight="1" x14ac:dyDescent="0.25">
      <c r="A93" s="6" t="s">
        <v>491</v>
      </c>
      <c r="B93" s="6" t="s">
        <v>295</v>
      </c>
      <c r="C93" s="6" t="s">
        <v>492</v>
      </c>
      <c r="D93" s="9" t="s">
        <v>28</v>
      </c>
      <c r="E93" s="8">
        <v>2</v>
      </c>
      <c r="F93" s="13">
        <v>1140</v>
      </c>
      <c r="G93" s="8"/>
      <c r="H93" s="6" t="s">
        <v>493</v>
      </c>
      <c r="I93" s="6" t="s">
        <v>494</v>
      </c>
      <c r="J93" s="6"/>
      <c r="K93" s="6"/>
    </row>
    <row r="94" spans="1:11" ht="18" customHeight="1" x14ac:dyDescent="0.25">
      <c r="A94" s="6" t="s">
        <v>495</v>
      </c>
      <c r="B94" s="6" t="s">
        <v>153</v>
      </c>
      <c r="C94" s="6" t="s">
        <v>495</v>
      </c>
      <c r="D94" s="9" t="s">
        <v>28</v>
      </c>
      <c r="E94" s="8">
        <v>2</v>
      </c>
      <c r="F94" s="13">
        <v>1130</v>
      </c>
      <c r="G94" s="8"/>
      <c r="H94" s="6" t="s">
        <v>496</v>
      </c>
      <c r="I94" s="6" t="s">
        <v>497</v>
      </c>
      <c r="J94" s="6"/>
      <c r="K94" s="6"/>
    </row>
    <row r="95" spans="1:11" ht="18" customHeight="1" x14ac:dyDescent="0.25">
      <c r="A95" s="6" t="s">
        <v>498</v>
      </c>
      <c r="B95" s="6" t="s">
        <v>187</v>
      </c>
      <c r="C95" s="6" t="s">
        <v>498</v>
      </c>
      <c r="D95" s="9" t="s">
        <v>28</v>
      </c>
      <c r="E95" s="8">
        <v>2</v>
      </c>
      <c r="F95" s="13">
        <v>1120</v>
      </c>
      <c r="G95" s="8"/>
      <c r="H95" s="6" t="s">
        <v>499</v>
      </c>
      <c r="I95" s="6" t="s">
        <v>500</v>
      </c>
      <c r="J95" s="6"/>
      <c r="K95" s="6"/>
    </row>
    <row r="96" spans="1:11" ht="18" customHeight="1" x14ac:dyDescent="0.25">
      <c r="A96" s="6" t="s">
        <v>501</v>
      </c>
      <c r="B96" s="6" t="s">
        <v>171</v>
      </c>
      <c r="C96" s="6" t="s">
        <v>501</v>
      </c>
      <c r="D96" s="9" t="s">
        <v>28</v>
      </c>
      <c r="E96" s="8">
        <v>2</v>
      </c>
      <c r="F96" s="13">
        <v>1110</v>
      </c>
      <c r="G96" s="8"/>
      <c r="H96" s="6" t="s">
        <v>502</v>
      </c>
      <c r="I96" s="6" t="s">
        <v>503</v>
      </c>
      <c r="J96" s="6"/>
      <c r="K96" s="6"/>
    </row>
    <row r="97" spans="1:11" ht="18" customHeight="1" x14ac:dyDescent="0.25">
      <c r="A97" s="6" t="s">
        <v>504</v>
      </c>
      <c r="B97" s="6" t="s">
        <v>153</v>
      </c>
      <c r="C97" s="6" t="s">
        <v>504</v>
      </c>
      <c r="D97" s="9" t="s">
        <v>28</v>
      </c>
      <c r="E97" s="8">
        <v>2</v>
      </c>
      <c r="F97" s="13">
        <v>1100</v>
      </c>
      <c r="G97" s="8"/>
      <c r="H97" s="6" t="s">
        <v>505</v>
      </c>
      <c r="I97" s="6" t="s">
        <v>506</v>
      </c>
      <c r="J97" s="6"/>
      <c r="K97" s="6"/>
    </row>
    <row r="98" spans="1:11" ht="18" customHeight="1" x14ac:dyDescent="0.25">
      <c r="A98" s="6" t="s">
        <v>507</v>
      </c>
      <c r="B98" s="6" t="s">
        <v>153</v>
      </c>
      <c r="C98" s="6" t="s">
        <v>507</v>
      </c>
      <c r="D98" s="9" t="s">
        <v>28</v>
      </c>
      <c r="E98" s="8">
        <v>2</v>
      </c>
      <c r="F98" s="13">
        <v>1090</v>
      </c>
      <c r="G98" s="8"/>
      <c r="H98" s="6" t="s">
        <v>508</v>
      </c>
      <c r="I98" s="6" t="s">
        <v>509</v>
      </c>
      <c r="J98" s="6"/>
      <c r="K98" s="6"/>
    </row>
    <row r="99" spans="1:11" ht="18" customHeight="1" x14ac:dyDescent="0.25">
      <c r="A99" s="6" t="s">
        <v>510</v>
      </c>
      <c r="B99" s="6" t="s">
        <v>295</v>
      </c>
      <c r="C99" s="6" t="s">
        <v>511</v>
      </c>
      <c r="D99" s="9" t="s">
        <v>28</v>
      </c>
      <c r="E99" s="8">
        <v>2</v>
      </c>
      <c r="F99" s="13">
        <v>1080</v>
      </c>
      <c r="G99" s="8"/>
      <c r="H99" s="6" t="s">
        <v>512</v>
      </c>
      <c r="I99" s="6" t="s">
        <v>513</v>
      </c>
      <c r="J99" s="6"/>
      <c r="K99" s="6"/>
    </row>
    <row r="100" spans="1:11" ht="18" customHeight="1" x14ac:dyDescent="0.25">
      <c r="A100" s="6" t="s">
        <v>514</v>
      </c>
      <c r="B100" s="6" t="s">
        <v>153</v>
      </c>
      <c r="C100" s="6" t="s">
        <v>514</v>
      </c>
      <c r="D100" s="9" t="s">
        <v>28</v>
      </c>
      <c r="E100" s="8">
        <v>2</v>
      </c>
      <c r="F100" s="13">
        <v>1070</v>
      </c>
      <c r="G100" s="8"/>
      <c r="H100" s="6" t="s">
        <v>515</v>
      </c>
      <c r="I100" s="6" t="s">
        <v>516</v>
      </c>
      <c r="J100" s="6"/>
      <c r="K100" s="6"/>
    </row>
    <row r="101" spans="1:11" ht="18" customHeight="1" x14ac:dyDescent="0.25">
      <c r="A101" s="6" t="s">
        <v>517</v>
      </c>
      <c r="B101" s="6" t="s">
        <v>518</v>
      </c>
      <c r="C101" s="6" t="s">
        <v>519</v>
      </c>
      <c r="D101" s="9" t="s">
        <v>28</v>
      </c>
      <c r="E101" s="8">
        <v>2</v>
      </c>
      <c r="F101" s="13">
        <v>1060</v>
      </c>
      <c r="G101" s="8"/>
      <c r="H101" s="6" t="s">
        <v>520</v>
      </c>
      <c r="I101" s="6" t="s">
        <v>521</v>
      </c>
      <c r="J101" s="6"/>
      <c r="K101" s="6"/>
    </row>
    <row r="102" spans="1:11" ht="18" customHeight="1" x14ac:dyDescent="0.25">
      <c r="A102" s="6" t="s">
        <v>522</v>
      </c>
      <c r="B102" s="6" t="s">
        <v>309</v>
      </c>
      <c r="C102" s="6" t="s">
        <v>523</v>
      </c>
      <c r="D102" s="9" t="s">
        <v>28</v>
      </c>
      <c r="E102" s="8">
        <v>2</v>
      </c>
      <c r="F102" s="13">
        <v>1050</v>
      </c>
      <c r="G102" s="8"/>
      <c r="H102" s="6" t="s">
        <v>524</v>
      </c>
      <c r="I102" s="6" t="s">
        <v>525</v>
      </c>
      <c r="J102" s="6"/>
      <c r="K102" s="6"/>
    </row>
    <row r="103" spans="1:11" ht="18" customHeight="1" x14ac:dyDescent="0.25">
      <c r="A103" s="6" t="s">
        <v>526</v>
      </c>
      <c r="B103" s="6" t="s">
        <v>153</v>
      </c>
      <c r="C103" s="6" t="s">
        <v>526</v>
      </c>
      <c r="D103" s="9" t="s">
        <v>28</v>
      </c>
      <c r="E103" s="8">
        <v>2</v>
      </c>
      <c r="F103" s="13">
        <v>1040</v>
      </c>
      <c r="G103" s="8"/>
      <c r="H103" s="6" t="s">
        <v>527</v>
      </c>
      <c r="I103" s="6" t="s">
        <v>528</v>
      </c>
      <c r="J103" s="6"/>
      <c r="K103" s="6"/>
    </row>
    <row r="104" spans="1:11" ht="18" customHeight="1" x14ac:dyDescent="0.25">
      <c r="A104" s="6" t="s">
        <v>529</v>
      </c>
      <c r="B104" s="6" t="s">
        <v>176</v>
      </c>
      <c r="C104" s="6" t="s">
        <v>529</v>
      </c>
      <c r="D104" s="9" t="s">
        <v>28</v>
      </c>
      <c r="E104" s="8">
        <v>2</v>
      </c>
      <c r="F104" s="13">
        <v>1030</v>
      </c>
      <c r="G104" s="8"/>
      <c r="H104" s="6" t="s">
        <v>530</v>
      </c>
      <c r="I104" s="6" t="s">
        <v>531</v>
      </c>
      <c r="J104" s="6"/>
      <c r="K104" s="6"/>
    </row>
    <row r="105" spans="1:11" ht="18" customHeight="1" x14ac:dyDescent="0.25">
      <c r="A105" s="6" t="s">
        <v>532</v>
      </c>
      <c r="B105" s="6" t="s">
        <v>314</v>
      </c>
      <c r="C105" s="6" t="s">
        <v>532</v>
      </c>
      <c r="D105" s="9" t="s">
        <v>28</v>
      </c>
      <c r="E105" s="8">
        <v>2</v>
      </c>
      <c r="F105" s="13">
        <v>1020</v>
      </c>
      <c r="G105" s="8"/>
      <c r="H105" s="6" t="s">
        <v>533</v>
      </c>
      <c r="I105" s="6" t="s">
        <v>534</v>
      </c>
      <c r="J105" s="6"/>
      <c r="K105" s="6"/>
    </row>
    <row r="106" spans="1:11" ht="18" customHeight="1" x14ac:dyDescent="0.25">
      <c r="A106" s="6" t="s">
        <v>535</v>
      </c>
      <c r="B106" s="6" t="s">
        <v>176</v>
      </c>
      <c r="C106" s="6" t="s">
        <v>535</v>
      </c>
      <c r="D106" s="9" t="s">
        <v>28</v>
      </c>
      <c r="E106" s="8">
        <v>2</v>
      </c>
      <c r="F106" s="13">
        <v>1010</v>
      </c>
      <c r="G106" s="8"/>
      <c r="H106" s="6" t="s">
        <v>536</v>
      </c>
      <c r="I106" s="6" t="s">
        <v>537</v>
      </c>
      <c r="J106" s="6"/>
      <c r="K106" s="6"/>
    </row>
    <row r="107" spans="1:11" ht="18" customHeight="1" x14ac:dyDescent="0.25">
      <c r="A107" s="6" t="s">
        <v>538</v>
      </c>
      <c r="B107" s="6" t="s">
        <v>153</v>
      </c>
      <c r="C107" s="6" t="s">
        <v>538</v>
      </c>
      <c r="D107" s="9" t="s">
        <v>28</v>
      </c>
      <c r="E107" s="8">
        <v>2</v>
      </c>
      <c r="F107" s="13">
        <v>1000</v>
      </c>
      <c r="G107" s="8"/>
      <c r="H107" s="6" t="s">
        <v>539</v>
      </c>
      <c r="I107" s="6" t="s">
        <v>540</v>
      </c>
      <c r="J107" s="6"/>
      <c r="K107" s="6"/>
    </row>
    <row r="108" spans="1:11" ht="18" customHeight="1" x14ac:dyDescent="0.25">
      <c r="A108" s="6" t="s">
        <v>541</v>
      </c>
      <c r="B108" s="6" t="s">
        <v>153</v>
      </c>
      <c r="C108" s="6" t="s">
        <v>541</v>
      </c>
      <c r="D108" s="9" t="s">
        <v>28</v>
      </c>
      <c r="E108" s="8">
        <v>2</v>
      </c>
      <c r="F108" s="13">
        <v>990</v>
      </c>
      <c r="G108" s="8"/>
      <c r="H108" s="6" t="s">
        <v>542</v>
      </c>
      <c r="I108" s="6" t="s">
        <v>543</v>
      </c>
      <c r="J108" s="6"/>
      <c r="K108" s="6"/>
    </row>
    <row r="109" spans="1:11" ht="18" customHeight="1" x14ac:dyDescent="0.25">
      <c r="A109" s="6" t="s">
        <v>544</v>
      </c>
      <c r="B109" s="6" t="s">
        <v>153</v>
      </c>
      <c r="C109" s="6" t="s">
        <v>544</v>
      </c>
      <c r="D109" s="9" t="s">
        <v>28</v>
      </c>
      <c r="E109" s="8">
        <v>2</v>
      </c>
      <c r="F109" s="13">
        <v>980</v>
      </c>
      <c r="G109" s="8"/>
      <c r="H109" s="6" t="s">
        <v>545</v>
      </c>
      <c r="I109" s="6" t="s">
        <v>546</v>
      </c>
      <c r="J109" s="6"/>
      <c r="K109" s="6"/>
    </row>
    <row r="110" spans="1:11" ht="18" customHeight="1" x14ac:dyDescent="0.25">
      <c r="A110" s="6" t="s">
        <v>547</v>
      </c>
      <c r="B110" s="6" t="s">
        <v>413</v>
      </c>
      <c r="C110" s="6" t="s">
        <v>547</v>
      </c>
      <c r="D110" s="9" t="s">
        <v>28</v>
      </c>
      <c r="E110" s="8">
        <v>2</v>
      </c>
      <c r="F110" s="13">
        <v>970</v>
      </c>
      <c r="G110" s="8"/>
      <c r="H110" s="6" t="s">
        <v>548</v>
      </c>
      <c r="I110" s="6" t="s">
        <v>549</v>
      </c>
      <c r="J110" s="6"/>
      <c r="K110" s="6"/>
    </row>
    <row r="111" spans="1:11" ht="18" customHeight="1" x14ac:dyDescent="0.25">
      <c r="A111" s="6" t="s">
        <v>550</v>
      </c>
      <c r="B111" s="6" t="s">
        <v>171</v>
      </c>
      <c r="C111" s="6" t="s">
        <v>550</v>
      </c>
      <c r="D111" s="9" t="s">
        <v>28</v>
      </c>
      <c r="E111" s="8">
        <v>2</v>
      </c>
      <c r="F111" s="13">
        <v>960</v>
      </c>
      <c r="G111" s="8"/>
      <c r="H111" s="6" t="s">
        <v>551</v>
      </c>
      <c r="I111" s="6" t="s">
        <v>552</v>
      </c>
      <c r="J111" s="6"/>
      <c r="K111" s="6"/>
    </row>
    <row r="112" spans="1:11" ht="18" customHeight="1" x14ac:dyDescent="0.25">
      <c r="A112" s="6" t="s">
        <v>553</v>
      </c>
      <c r="B112" s="6" t="s">
        <v>304</v>
      </c>
      <c r="C112" s="6" t="s">
        <v>554</v>
      </c>
      <c r="D112" s="9" t="s">
        <v>28</v>
      </c>
      <c r="E112" s="8">
        <v>2</v>
      </c>
      <c r="F112" s="13">
        <v>950</v>
      </c>
      <c r="G112" s="8"/>
      <c r="H112" s="6" t="s">
        <v>555</v>
      </c>
      <c r="I112" s="6" t="s">
        <v>556</v>
      </c>
      <c r="J112" s="6"/>
      <c r="K112" s="6"/>
    </row>
    <row r="113" spans="1:11" ht="18" customHeight="1" x14ac:dyDescent="0.25">
      <c r="A113" s="6" t="s">
        <v>557</v>
      </c>
      <c r="B113" s="6" t="s">
        <v>290</v>
      </c>
      <c r="C113" s="6" t="s">
        <v>558</v>
      </c>
      <c r="D113" s="9" t="s">
        <v>28</v>
      </c>
      <c r="E113" s="8">
        <v>2</v>
      </c>
      <c r="F113" s="13">
        <v>940</v>
      </c>
      <c r="G113" s="8"/>
      <c r="H113" s="6" t="s">
        <v>559</v>
      </c>
      <c r="I113" s="6" t="s">
        <v>560</v>
      </c>
      <c r="J113" s="6"/>
      <c r="K113" s="6"/>
    </row>
    <row r="114" spans="1:11" ht="18" customHeight="1" x14ac:dyDescent="0.25">
      <c r="A114" s="6" t="s">
        <v>561</v>
      </c>
      <c r="B114" s="6" t="s">
        <v>304</v>
      </c>
      <c r="C114" s="6" t="s">
        <v>561</v>
      </c>
      <c r="D114" s="9" t="s">
        <v>28</v>
      </c>
      <c r="E114" s="8">
        <v>2</v>
      </c>
      <c r="F114" s="13">
        <v>930</v>
      </c>
      <c r="G114" s="8"/>
      <c r="H114" s="6" t="s">
        <v>562</v>
      </c>
      <c r="I114" s="6" t="s">
        <v>563</v>
      </c>
      <c r="J114" s="6"/>
      <c r="K114" s="6"/>
    </row>
    <row r="115" spans="1:11" ht="18" customHeight="1" x14ac:dyDescent="0.25">
      <c r="A115" s="6" t="s">
        <v>564</v>
      </c>
      <c r="B115" s="6" t="s">
        <v>565</v>
      </c>
      <c r="C115" s="6" t="s">
        <v>564</v>
      </c>
      <c r="D115" s="9" t="s">
        <v>28</v>
      </c>
      <c r="E115" s="8">
        <v>2</v>
      </c>
      <c r="F115" s="13">
        <v>920</v>
      </c>
      <c r="G115" s="8"/>
      <c r="H115" s="6" t="s">
        <v>566</v>
      </c>
      <c r="I115" s="6" t="s">
        <v>567</v>
      </c>
      <c r="J115" s="6"/>
      <c r="K115" s="6"/>
    </row>
    <row r="116" spans="1:11" ht="18" customHeight="1" x14ac:dyDescent="0.25">
      <c r="A116" s="6" t="s">
        <v>568</v>
      </c>
      <c r="B116" s="6" t="s">
        <v>262</v>
      </c>
      <c r="C116" s="6" t="s">
        <v>568</v>
      </c>
      <c r="D116" s="9" t="s">
        <v>28</v>
      </c>
      <c r="E116" s="8">
        <v>2</v>
      </c>
      <c r="F116" s="13">
        <v>910</v>
      </c>
      <c r="G116" s="8"/>
      <c r="H116" s="6" t="s">
        <v>569</v>
      </c>
      <c r="I116" s="6" t="s">
        <v>570</v>
      </c>
      <c r="J116" s="6"/>
      <c r="K116" s="6"/>
    </row>
    <row r="117" spans="1:11" ht="18" customHeight="1" x14ac:dyDescent="0.25">
      <c r="A117" s="6" t="s">
        <v>571</v>
      </c>
      <c r="B117" s="6" t="s">
        <v>181</v>
      </c>
      <c r="C117" s="6" t="s">
        <v>571</v>
      </c>
      <c r="D117" s="9" t="s">
        <v>28</v>
      </c>
      <c r="E117" s="8">
        <v>2</v>
      </c>
      <c r="F117" s="13">
        <v>900</v>
      </c>
      <c r="G117" s="8"/>
      <c r="H117" s="6" t="s">
        <v>572</v>
      </c>
      <c r="I117" s="6" t="s">
        <v>573</v>
      </c>
      <c r="J117" s="6"/>
      <c r="K117" s="6"/>
    </row>
    <row r="118" spans="1:11" ht="18" customHeight="1" x14ac:dyDescent="0.25">
      <c r="A118" s="6" t="s">
        <v>574</v>
      </c>
      <c r="B118" s="6" t="s">
        <v>176</v>
      </c>
      <c r="C118" s="6" t="s">
        <v>574</v>
      </c>
      <c r="D118" s="9" t="s">
        <v>28</v>
      </c>
      <c r="E118" s="8">
        <v>2</v>
      </c>
      <c r="F118" s="13">
        <v>890</v>
      </c>
      <c r="G118" s="8"/>
      <c r="H118" s="6" t="s">
        <v>575</v>
      </c>
      <c r="I118" s="6" t="s">
        <v>576</v>
      </c>
      <c r="J118" s="6"/>
      <c r="K118" s="6"/>
    </row>
    <row r="119" spans="1:11" ht="18" customHeight="1" x14ac:dyDescent="0.25">
      <c r="A119" s="6" t="s">
        <v>577</v>
      </c>
      <c r="B119" s="6" t="s">
        <v>176</v>
      </c>
      <c r="C119" s="6" t="s">
        <v>577</v>
      </c>
      <c r="D119" s="9" t="s">
        <v>28</v>
      </c>
      <c r="E119" s="8">
        <v>2</v>
      </c>
      <c r="F119" s="13">
        <v>880</v>
      </c>
      <c r="G119" s="8"/>
      <c r="H119" s="6" t="s">
        <v>578</v>
      </c>
      <c r="I119" s="6" t="s">
        <v>579</v>
      </c>
      <c r="J119" s="6"/>
      <c r="K119" s="6"/>
    </row>
    <row r="120" spans="1:11" ht="18" customHeight="1" x14ac:dyDescent="0.25">
      <c r="A120" s="6" t="s">
        <v>580</v>
      </c>
      <c r="B120" s="6">
        <v>151</v>
      </c>
      <c r="C120" s="6" t="s">
        <v>580</v>
      </c>
      <c r="D120" s="9" t="s">
        <v>28</v>
      </c>
      <c r="E120" s="8">
        <v>2</v>
      </c>
      <c r="F120" s="13">
        <v>870</v>
      </c>
      <c r="G120" s="8"/>
      <c r="H120" s="6" t="s">
        <v>581</v>
      </c>
      <c r="I120" s="6" t="s">
        <v>582</v>
      </c>
      <c r="J120" s="6"/>
      <c r="K120" s="6"/>
    </row>
    <row r="121" spans="1:11" ht="18" customHeight="1" x14ac:dyDescent="0.25">
      <c r="A121" s="6" t="s">
        <v>583</v>
      </c>
      <c r="B121" s="6" t="s">
        <v>276</v>
      </c>
      <c r="C121" s="6" t="s">
        <v>584</v>
      </c>
      <c r="D121" s="9" t="s">
        <v>28</v>
      </c>
      <c r="E121" s="8">
        <v>2</v>
      </c>
      <c r="F121" s="13">
        <v>860</v>
      </c>
      <c r="G121" s="8"/>
      <c r="H121" s="6" t="s">
        <v>585</v>
      </c>
      <c r="I121" s="6" t="s">
        <v>586</v>
      </c>
      <c r="J121" s="6"/>
      <c r="K121" s="6"/>
    </row>
    <row r="122" spans="1:11" ht="18" customHeight="1" x14ac:dyDescent="0.25">
      <c r="A122" s="6" t="s">
        <v>587</v>
      </c>
      <c r="B122" s="6" t="s">
        <v>181</v>
      </c>
      <c r="C122" s="6" t="s">
        <v>588</v>
      </c>
      <c r="D122" s="9" t="s">
        <v>28</v>
      </c>
      <c r="E122" s="8">
        <v>2</v>
      </c>
      <c r="F122" s="13">
        <v>850</v>
      </c>
      <c r="G122" s="8"/>
      <c r="H122" s="6" t="s">
        <v>589</v>
      </c>
      <c r="I122" s="6" t="s">
        <v>590</v>
      </c>
      <c r="J122" s="6"/>
      <c r="K122" s="6"/>
    </row>
    <row r="123" spans="1:11" ht="18" customHeight="1" x14ac:dyDescent="0.25">
      <c r="A123" s="6" t="s">
        <v>591</v>
      </c>
      <c r="B123" s="6" t="s">
        <v>262</v>
      </c>
      <c r="C123" s="6" t="s">
        <v>592</v>
      </c>
      <c r="D123" s="9" t="s">
        <v>28</v>
      </c>
      <c r="E123" s="8">
        <v>2</v>
      </c>
      <c r="F123" s="13">
        <v>840</v>
      </c>
      <c r="G123" s="8"/>
      <c r="H123" s="6" t="s">
        <v>593</v>
      </c>
      <c r="I123" s="6" t="s">
        <v>594</v>
      </c>
      <c r="J123" s="6"/>
      <c r="K123" s="6"/>
    </row>
    <row r="124" spans="1:11" ht="18" customHeight="1" x14ac:dyDescent="0.25">
      <c r="A124" s="6" t="s">
        <v>595</v>
      </c>
      <c r="B124" s="6" t="s">
        <v>304</v>
      </c>
      <c r="C124" s="6" t="s">
        <v>596</v>
      </c>
      <c r="D124" s="9" t="s">
        <v>28</v>
      </c>
      <c r="E124" s="8">
        <v>2</v>
      </c>
      <c r="F124" s="13">
        <v>830</v>
      </c>
      <c r="G124" s="8"/>
      <c r="H124" s="6" t="s">
        <v>597</v>
      </c>
      <c r="I124" s="6" t="s">
        <v>598</v>
      </c>
      <c r="J124" s="6"/>
      <c r="K124" s="6"/>
    </row>
    <row r="125" spans="1:11" ht="18" customHeight="1" x14ac:dyDescent="0.25">
      <c r="A125" s="6" t="s">
        <v>599</v>
      </c>
      <c r="B125" s="6" t="s">
        <v>413</v>
      </c>
      <c r="C125" s="6" t="s">
        <v>600</v>
      </c>
      <c r="D125" s="9" t="s">
        <v>28</v>
      </c>
      <c r="E125" s="8">
        <v>2</v>
      </c>
      <c r="F125" s="13">
        <v>820</v>
      </c>
      <c r="G125" s="8"/>
      <c r="H125" s="6" t="s">
        <v>601</v>
      </c>
      <c r="I125" s="6" t="s">
        <v>602</v>
      </c>
      <c r="J125" s="6"/>
      <c r="K125" s="6"/>
    </row>
    <row r="126" spans="1:11" ht="18" customHeight="1" x14ac:dyDescent="0.25">
      <c r="A126" s="6" t="s">
        <v>603</v>
      </c>
      <c r="B126" s="6" t="s">
        <v>271</v>
      </c>
      <c r="C126" s="6" t="s">
        <v>604</v>
      </c>
      <c r="D126" s="9" t="s">
        <v>28</v>
      </c>
      <c r="E126" s="8">
        <v>2</v>
      </c>
      <c r="F126" s="13">
        <v>810</v>
      </c>
      <c r="G126" s="8"/>
      <c r="H126" s="6" t="s">
        <v>605</v>
      </c>
      <c r="I126" s="6" t="s">
        <v>606</v>
      </c>
      <c r="J126" s="6"/>
      <c r="K126" s="6"/>
    </row>
    <row r="127" spans="1:11" ht="18" customHeight="1" x14ac:dyDescent="0.25">
      <c r="A127" s="6" t="s">
        <v>607</v>
      </c>
      <c r="B127" s="6" t="s">
        <v>314</v>
      </c>
      <c r="C127" s="6" t="s">
        <v>607</v>
      </c>
      <c r="D127" s="9" t="s">
        <v>28</v>
      </c>
      <c r="E127" s="8">
        <v>2</v>
      </c>
      <c r="F127" s="13">
        <v>800</v>
      </c>
      <c r="G127" s="8"/>
      <c r="H127" s="6" t="s">
        <v>608</v>
      </c>
      <c r="I127" s="6" t="s">
        <v>609</v>
      </c>
      <c r="J127" s="6"/>
      <c r="K127" s="6"/>
    </row>
    <row r="128" spans="1:11" ht="18" customHeight="1" x14ac:dyDescent="0.25">
      <c r="A128" s="6" t="s">
        <v>610</v>
      </c>
      <c r="B128" s="6">
        <v>151</v>
      </c>
      <c r="C128" s="6" t="s">
        <v>610</v>
      </c>
      <c r="D128" s="9" t="s">
        <v>28</v>
      </c>
      <c r="E128" s="8">
        <v>2</v>
      </c>
      <c r="F128" s="13">
        <v>790</v>
      </c>
      <c r="G128" s="8"/>
      <c r="H128" s="6" t="s">
        <v>611</v>
      </c>
      <c r="I128" s="6" t="s">
        <v>612</v>
      </c>
      <c r="J128" s="6"/>
      <c r="K128" s="6"/>
    </row>
    <row r="129" spans="1:11" ht="18" customHeight="1" x14ac:dyDescent="0.25">
      <c r="A129" s="6" t="s">
        <v>613</v>
      </c>
      <c r="B129" s="6" t="s">
        <v>187</v>
      </c>
      <c r="C129" s="6" t="s">
        <v>613</v>
      </c>
      <c r="D129" s="9" t="s">
        <v>28</v>
      </c>
      <c r="E129" s="8">
        <v>2</v>
      </c>
      <c r="F129" s="13">
        <v>780</v>
      </c>
      <c r="G129" s="8"/>
      <c r="H129" s="6" t="s">
        <v>614</v>
      </c>
      <c r="I129" s="6" t="s">
        <v>615</v>
      </c>
      <c r="J129" s="6"/>
      <c r="K129" s="6"/>
    </row>
    <row r="130" spans="1:11" ht="18" customHeight="1" x14ac:dyDescent="0.25">
      <c r="A130" s="6" t="s">
        <v>616</v>
      </c>
      <c r="B130" s="6" t="s">
        <v>565</v>
      </c>
      <c r="C130" s="6" t="s">
        <v>616</v>
      </c>
      <c r="D130" s="9" t="s">
        <v>28</v>
      </c>
      <c r="E130" s="8">
        <v>2</v>
      </c>
      <c r="F130" s="13">
        <v>770</v>
      </c>
      <c r="G130" s="8"/>
      <c r="H130" s="6" t="s">
        <v>617</v>
      </c>
      <c r="I130" s="6" t="s">
        <v>618</v>
      </c>
      <c r="J130" s="6"/>
      <c r="K130" s="6"/>
    </row>
    <row r="131" spans="1:11" ht="18" customHeight="1" x14ac:dyDescent="0.25">
      <c r="A131" s="6" t="s">
        <v>619</v>
      </c>
      <c r="B131" s="6" t="s">
        <v>181</v>
      </c>
      <c r="C131" s="6" t="s">
        <v>619</v>
      </c>
      <c r="D131" s="9" t="s">
        <v>28</v>
      </c>
      <c r="E131" s="8">
        <v>2</v>
      </c>
      <c r="F131" s="13">
        <v>760</v>
      </c>
      <c r="G131" s="8"/>
      <c r="H131" s="6" t="s">
        <v>620</v>
      </c>
      <c r="I131" s="6" t="s">
        <v>621</v>
      </c>
      <c r="J131" s="6"/>
      <c r="K131" s="6"/>
    </row>
    <row r="132" spans="1:11" ht="18" customHeight="1" x14ac:dyDescent="0.25">
      <c r="A132" s="6" t="s">
        <v>622</v>
      </c>
      <c r="B132" s="6" t="s">
        <v>276</v>
      </c>
      <c r="C132" s="6" t="s">
        <v>622</v>
      </c>
      <c r="D132" s="9" t="s">
        <v>28</v>
      </c>
      <c r="E132" s="8">
        <v>2</v>
      </c>
      <c r="F132" s="13">
        <v>750</v>
      </c>
      <c r="G132" s="8"/>
      <c r="H132" s="6" t="s">
        <v>623</v>
      </c>
      <c r="I132" s="6" t="s">
        <v>624</v>
      </c>
      <c r="J132" s="6"/>
      <c r="K132" s="6"/>
    </row>
    <row r="133" spans="1:11" ht="18" customHeight="1" x14ac:dyDescent="0.25">
      <c r="A133" s="6" t="s">
        <v>625</v>
      </c>
      <c r="B133" s="6" t="s">
        <v>238</v>
      </c>
      <c r="C133" s="6" t="s">
        <v>625</v>
      </c>
      <c r="D133" s="9" t="s">
        <v>28</v>
      </c>
      <c r="E133" s="8">
        <v>2</v>
      </c>
      <c r="F133" s="13">
        <v>740</v>
      </c>
      <c r="G133" s="8"/>
      <c r="H133" s="6" t="s">
        <v>626</v>
      </c>
      <c r="I133" s="6" t="s">
        <v>627</v>
      </c>
      <c r="J133" s="6"/>
      <c r="K133" s="6"/>
    </row>
    <row r="134" spans="1:11" ht="18" customHeight="1" x14ac:dyDescent="0.25">
      <c r="A134" s="6" t="s">
        <v>628</v>
      </c>
      <c r="B134" s="6" t="s">
        <v>342</v>
      </c>
      <c r="C134" s="6" t="s">
        <v>628</v>
      </c>
      <c r="D134" s="9" t="s">
        <v>28</v>
      </c>
      <c r="E134" s="8">
        <v>2</v>
      </c>
      <c r="F134" s="13">
        <v>730</v>
      </c>
      <c r="G134" s="8"/>
      <c r="H134" s="6" t="s">
        <v>629</v>
      </c>
      <c r="I134" s="6" t="s">
        <v>630</v>
      </c>
      <c r="J134" s="6"/>
      <c r="K134" s="6"/>
    </row>
    <row r="135" spans="1:11" ht="18" customHeight="1" x14ac:dyDescent="0.25">
      <c r="A135" s="6" t="s">
        <v>631</v>
      </c>
      <c r="B135" s="6" t="s">
        <v>295</v>
      </c>
      <c r="C135" s="6" t="s">
        <v>631</v>
      </c>
      <c r="D135" s="9" t="s">
        <v>28</v>
      </c>
      <c r="E135" s="8">
        <v>2</v>
      </c>
      <c r="F135" s="13">
        <v>720</v>
      </c>
      <c r="G135" s="8"/>
      <c r="H135" s="6" t="s">
        <v>632</v>
      </c>
      <c r="I135" s="6" t="s">
        <v>633</v>
      </c>
      <c r="J135" s="6"/>
      <c r="K135" s="6"/>
    </row>
    <row r="136" spans="1:11" ht="18" customHeight="1" x14ac:dyDescent="0.25">
      <c r="A136" s="6" t="s">
        <v>634</v>
      </c>
      <c r="B136" s="6" t="s">
        <v>413</v>
      </c>
      <c r="C136" s="6" t="s">
        <v>634</v>
      </c>
      <c r="D136" s="9" t="s">
        <v>28</v>
      </c>
      <c r="E136" s="8">
        <v>2</v>
      </c>
      <c r="F136" s="13">
        <v>710</v>
      </c>
      <c r="G136" s="8"/>
      <c r="H136" s="6" t="s">
        <v>635</v>
      </c>
      <c r="I136" s="6" t="s">
        <v>636</v>
      </c>
      <c r="J136" s="6"/>
      <c r="K136" s="6"/>
    </row>
    <row r="137" spans="1:11" ht="18" customHeight="1" x14ac:dyDescent="0.25">
      <c r="A137" s="6" t="s">
        <v>637</v>
      </c>
      <c r="B137" s="6" t="s">
        <v>262</v>
      </c>
      <c r="C137" s="6" t="s">
        <v>637</v>
      </c>
      <c r="D137" s="9" t="s">
        <v>28</v>
      </c>
      <c r="E137" s="8">
        <v>2</v>
      </c>
      <c r="F137" s="13">
        <v>700</v>
      </c>
      <c r="G137" s="8"/>
      <c r="H137" s="6" t="s">
        <v>638</v>
      </c>
      <c r="I137" s="6" t="s">
        <v>639</v>
      </c>
      <c r="J137" s="6"/>
      <c r="K137" s="6"/>
    </row>
    <row r="138" spans="1:11" ht="18" customHeight="1" x14ac:dyDescent="0.25">
      <c r="A138" s="6" t="s">
        <v>640</v>
      </c>
      <c r="B138" s="6" t="s">
        <v>253</v>
      </c>
      <c r="C138" s="6" t="s">
        <v>640</v>
      </c>
      <c r="D138" s="9" t="s">
        <v>28</v>
      </c>
      <c r="E138" s="8">
        <v>2</v>
      </c>
      <c r="F138" s="13">
        <v>690</v>
      </c>
      <c r="G138" s="8"/>
      <c r="H138" s="6" t="s">
        <v>641</v>
      </c>
      <c r="I138" s="6" t="s">
        <v>642</v>
      </c>
      <c r="J138" s="6"/>
      <c r="K138" s="6"/>
    </row>
    <row r="139" spans="1:11" ht="18" customHeight="1" x14ac:dyDescent="0.25">
      <c r="A139" s="6" t="s">
        <v>643</v>
      </c>
      <c r="B139" s="6" t="s">
        <v>361</v>
      </c>
      <c r="C139" s="6" t="s">
        <v>643</v>
      </c>
      <c r="D139" s="9" t="s">
        <v>28</v>
      </c>
      <c r="E139" s="8">
        <v>2</v>
      </c>
      <c r="F139" s="13">
        <v>680</v>
      </c>
      <c r="G139" s="8"/>
      <c r="H139" s="6" t="s">
        <v>644</v>
      </c>
      <c r="I139" s="6" t="s">
        <v>645</v>
      </c>
      <c r="J139" s="6"/>
      <c r="K139" s="6"/>
    </row>
    <row r="140" spans="1:11" ht="18" customHeight="1" x14ac:dyDescent="0.25">
      <c r="A140" s="6" t="s">
        <v>646</v>
      </c>
      <c r="B140" s="6" t="s">
        <v>171</v>
      </c>
      <c r="C140" s="6" t="s">
        <v>646</v>
      </c>
      <c r="D140" s="9" t="s">
        <v>28</v>
      </c>
      <c r="E140" s="8">
        <v>2</v>
      </c>
      <c r="F140" s="13">
        <v>670</v>
      </c>
      <c r="G140" s="8"/>
      <c r="H140" s="6" t="s">
        <v>647</v>
      </c>
      <c r="I140" s="6" t="s">
        <v>648</v>
      </c>
      <c r="J140" s="6"/>
      <c r="K140" s="6"/>
    </row>
    <row r="141" spans="1:11" ht="18" customHeight="1" x14ac:dyDescent="0.25">
      <c r="A141" s="6" t="s">
        <v>649</v>
      </c>
      <c r="B141" s="6" t="s">
        <v>153</v>
      </c>
      <c r="C141" s="6" t="s">
        <v>649</v>
      </c>
      <c r="D141" s="9" t="s">
        <v>28</v>
      </c>
      <c r="E141" s="8">
        <v>2</v>
      </c>
      <c r="F141" s="13">
        <v>660</v>
      </c>
      <c r="G141" s="8"/>
      <c r="H141" s="6" t="s">
        <v>650</v>
      </c>
      <c r="I141" s="6" t="s">
        <v>651</v>
      </c>
      <c r="J141" s="6"/>
      <c r="K141" s="6"/>
    </row>
    <row r="142" spans="1:11" ht="18" customHeight="1" x14ac:dyDescent="0.25">
      <c r="A142" s="6" t="s">
        <v>652</v>
      </c>
      <c r="B142" s="6" t="s">
        <v>262</v>
      </c>
      <c r="C142" s="6" t="s">
        <v>652</v>
      </c>
      <c r="D142" s="9" t="s">
        <v>28</v>
      </c>
      <c r="E142" s="8">
        <v>2</v>
      </c>
      <c r="F142" s="13">
        <v>650</v>
      </c>
      <c r="G142" s="8"/>
      <c r="H142" s="6" t="s">
        <v>653</v>
      </c>
      <c r="I142" s="6" t="s">
        <v>654</v>
      </c>
      <c r="J142" s="6"/>
      <c r="K142" s="6"/>
    </row>
    <row r="143" spans="1:11" ht="18" customHeight="1" x14ac:dyDescent="0.25">
      <c r="A143" s="6" t="s">
        <v>655</v>
      </c>
      <c r="B143" s="6" t="s">
        <v>238</v>
      </c>
      <c r="C143" s="6" t="s">
        <v>655</v>
      </c>
      <c r="D143" s="9" t="s">
        <v>28</v>
      </c>
      <c r="E143" s="8">
        <v>2</v>
      </c>
      <c r="F143" s="13">
        <v>640</v>
      </c>
      <c r="G143" s="8"/>
      <c r="H143" s="6" t="s">
        <v>656</v>
      </c>
      <c r="I143" s="6" t="s">
        <v>657</v>
      </c>
      <c r="J143" s="6"/>
      <c r="K143" s="6"/>
    </row>
    <row r="144" spans="1:11" ht="18" customHeight="1" x14ac:dyDescent="0.25">
      <c r="A144" s="6" t="s">
        <v>658</v>
      </c>
      <c r="B144" s="6" t="s">
        <v>187</v>
      </c>
      <c r="C144" s="6" t="s">
        <v>658</v>
      </c>
      <c r="D144" s="9" t="s">
        <v>28</v>
      </c>
      <c r="E144" s="8">
        <v>2</v>
      </c>
      <c r="F144" s="13">
        <v>630</v>
      </c>
      <c r="G144" s="8"/>
      <c r="H144" s="6" t="s">
        <v>659</v>
      </c>
      <c r="I144" s="6" t="s">
        <v>660</v>
      </c>
      <c r="J144" s="6"/>
      <c r="K144" s="6"/>
    </row>
    <row r="145" spans="1:12" ht="18" customHeight="1" x14ac:dyDescent="0.25">
      <c r="A145" s="6" t="s">
        <v>661</v>
      </c>
      <c r="B145" s="6" t="s">
        <v>187</v>
      </c>
      <c r="C145" s="6" t="s">
        <v>661</v>
      </c>
      <c r="D145" s="9" t="s">
        <v>28</v>
      </c>
      <c r="E145" s="8">
        <v>2</v>
      </c>
      <c r="F145" s="13">
        <v>620</v>
      </c>
      <c r="G145" s="8"/>
      <c r="H145" s="6" t="s">
        <v>662</v>
      </c>
      <c r="I145" s="6" t="s">
        <v>663</v>
      </c>
      <c r="J145" s="6"/>
      <c r="K145" s="6"/>
    </row>
    <row r="146" spans="1:12" ht="18" customHeight="1" x14ac:dyDescent="0.25">
      <c r="A146" s="6" t="s">
        <v>664</v>
      </c>
      <c r="B146" s="6" t="s">
        <v>314</v>
      </c>
      <c r="C146" s="6" t="s">
        <v>664</v>
      </c>
      <c r="D146" s="9" t="s">
        <v>28</v>
      </c>
      <c r="E146" s="8">
        <v>2</v>
      </c>
      <c r="F146" s="13">
        <v>610</v>
      </c>
      <c r="G146" s="8"/>
      <c r="H146" s="6" t="s">
        <v>665</v>
      </c>
      <c r="I146" s="6" t="s">
        <v>666</v>
      </c>
      <c r="J146" s="6"/>
      <c r="K146" s="6"/>
    </row>
    <row r="147" spans="1:12" ht="18" customHeight="1" x14ac:dyDescent="0.25">
      <c r="A147" s="6" t="s">
        <v>667</v>
      </c>
      <c r="B147" s="6" t="s">
        <v>314</v>
      </c>
      <c r="C147" s="6" t="s">
        <v>667</v>
      </c>
      <c r="D147" s="9" t="s">
        <v>28</v>
      </c>
      <c r="E147" s="8">
        <v>2</v>
      </c>
      <c r="F147" s="13">
        <v>600</v>
      </c>
      <c r="G147" s="8"/>
      <c r="H147" s="6" t="s">
        <v>668</v>
      </c>
      <c r="I147" s="6" t="s">
        <v>669</v>
      </c>
      <c r="J147" s="6"/>
      <c r="K147" s="6"/>
    </row>
    <row r="148" spans="1:12" ht="18" customHeight="1" x14ac:dyDescent="0.25">
      <c r="A148" s="6" t="s">
        <v>670</v>
      </c>
      <c r="B148" s="6">
        <v>151</v>
      </c>
      <c r="C148" s="6" t="s">
        <v>670</v>
      </c>
      <c r="D148" s="9" t="s">
        <v>28</v>
      </c>
      <c r="E148" s="8">
        <v>2</v>
      </c>
      <c r="F148" s="13">
        <v>590</v>
      </c>
      <c r="G148" s="8"/>
      <c r="H148" s="6" t="s">
        <v>671</v>
      </c>
      <c r="I148" s="6" t="s">
        <v>672</v>
      </c>
      <c r="J148" s="6"/>
      <c r="K148" s="6"/>
    </row>
    <row r="149" spans="1:12" ht="18" customHeight="1" x14ac:dyDescent="0.25">
      <c r="A149" s="6" t="s">
        <v>673</v>
      </c>
      <c r="B149" s="6" t="s">
        <v>314</v>
      </c>
      <c r="C149" s="6" t="s">
        <v>673</v>
      </c>
      <c r="D149" s="9" t="s">
        <v>28</v>
      </c>
      <c r="E149" s="8">
        <v>2</v>
      </c>
      <c r="F149" s="13">
        <v>580</v>
      </c>
      <c r="G149" s="8"/>
      <c r="H149" s="6" t="s">
        <v>674</v>
      </c>
      <c r="I149" s="6" t="s">
        <v>675</v>
      </c>
      <c r="J149" s="6"/>
      <c r="K149" s="6"/>
    </row>
    <row r="150" spans="1:12" ht="18" customHeight="1" x14ac:dyDescent="0.25">
      <c r="A150" s="6" t="s">
        <v>676</v>
      </c>
      <c r="B150" s="6" t="s">
        <v>314</v>
      </c>
      <c r="C150" s="6" t="s">
        <v>676</v>
      </c>
      <c r="D150" s="9" t="s">
        <v>28</v>
      </c>
      <c r="E150" s="8">
        <v>2</v>
      </c>
      <c r="F150" s="13">
        <v>570</v>
      </c>
      <c r="G150" s="8"/>
      <c r="H150" s="6" t="s">
        <v>677</v>
      </c>
      <c r="I150" s="6" t="s">
        <v>678</v>
      </c>
      <c r="J150" s="6"/>
      <c r="K150" s="6"/>
    </row>
    <row r="151" spans="1:12" ht="18" customHeight="1" x14ac:dyDescent="0.25">
      <c r="A151" s="6" t="s">
        <v>679</v>
      </c>
      <c r="B151" s="6" t="s">
        <v>238</v>
      </c>
      <c r="C151" s="6" t="s">
        <v>679</v>
      </c>
      <c r="D151" s="9" t="s">
        <v>28</v>
      </c>
      <c r="E151" s="8">
        <v>2</v>
      </c>
      <c r="F151" s="13">
        <v>560</v>
      </c>
      <c r="G151" s="8"/>
      <c r="H151" s="6" t="s">
        <v>680</v>
      </c>
      <c r="I151" s="6" t="s">
        <v>681</v>
      </c>
      <c r="J151" s="6"/>
      <c r="K151" s="6"/>
    </row>
    <row r="152" spans="1:12" ht="18" customHeight="1" x14ac:dyDescent="0.25">
      <c r="A152" s="6" t="s">
        <v>682</v>
      </c>
      <c r="B152" s="6" t="s">
        <v>238</v>
      </c>
      <c r="C152" s="6" t="s">
        <v>682</v>
      </c>
      <c r="D152" s="9" t="s">
        <v>28</v>
      </c>
      <c r="E152" s="8">
        <v>2</v>
      </c>
      <c r="F152" s="13">
        <v>550</v>
      </c>
      <c r="G152" s="8"/>
      <c r="H152" s="6" t="s">
        <v>683</v>
      </c>
      <c r="I152" s="6" t="s">
        <v>684</v>
      </c>
      <c r="J152" s="6"/>
      <c r="K152" s="6"/>
    </row>
    <row r="153" spans="1:12" ht="18" customHeight="1" x14ac:dyDescent="0.25">
      <c r="A153" s="6" t="s">
        <v>685</v>
      </c>
      <c r="B153" s="6" t="s">
        <v>181</v>
      </c>
      <c r="C153" s="6" t="s">
        <v>685</v>
      </c>
      <c r="D153" s="9" t="s">
        <v>28</v>
      </c>
      <c r="E153" s="8">
        <v>2</v>
      </c>
      <c r="F153" s="13">
        <v>540</v>
      </c>
      <c r="G153" s="8"/>
      <c r="H153" s="6" t="s">
        <v>686</v>
      </c>
      <c r="I153" s="6" t="s">
        <v>687</v>
      </c>
      <c r="J153" s="6"/>
      <c r="K153" s="6"/>
    </row>
    <row r="154" spans="1:12" ht="18" customHeight="1" x14ac:dyDescent="0.25">
      <c r="A154" s="6" t="s">
        <v>688</v>
      </c>
      <c r="B154" s="6" t="s">
        <v>187</v>
      </c>
      <c r="C154" s="6" t="s">
        <v>688</v>
      </c>
      <c r="D154" s="9" t="s">
        <v>28</v>
      </c>
      <c r="E154" s="8">
        <v>2</v>
      </c>
      <c r="F154" s="13">
        <v>530</v>
      </c>
      <c r="G154" s="8"/>
      <c r="H154" s="6" t="s">
        <v>689</v>
      </c>
      <c r="I154" s="6" t="s">
        <v>690</v>
      </c>
      <c r="J154" s="6"/>
      <c r="K154" s="6"/>
    </row>
    <row r="155" spans="1:12" ht="18" customHeight="1" x14ac:dyDescent="0.25">
      <c r="A155" s="6" t="s">
        <v>691</v>
      </c>
      <c r="B155" s="6" t="s">
        <v>361</v>
      </c>
      <c r="C155" s="6" t="s">
        <v>691</v>
      </c>
      <c r="D155" s="9" t="s">
        <v>28</v>
      </c>
      <c r="E155" s="8">
        <v>2</v>
      </c>
      <c r="F155" s="13">
        <v>520</v>
      </c>
      <c r="G155" s="8"/>
      <c r="H155" s="6" t="s">
        <v>692</v>
      </c>
      <c r="I155" s="6" t="s">
        <v>693</v>
      </c>
      <c r="J155" s="6"/>
      <c r="K155" s="6"/>
    </row>
    <row r="156" spans="1:12" ht="18" customHeight="1" x14ac:dyDescent="0.25">
      <c r="A156" s="6" t="s">
        <v>694</v>
      </c>
      <c r="B156" s="6" t="s">
        <v>309</v>
      </c>
      <c r="C156" s="6" t="s">
        <v>694</v>
      </c>
      <c r="D156" s="9" t="s">
        <v>28</v>
      </c>
      <c r="E156" s="8">
        <v>2</v>
      </c>
      <c r="F156" s="13">
        <v>510</v>
      </c>
      <c r="G156" s="8"/>
      <c r="H156" s="6" t="s">
        <v>695</v>
      </c>
      <c r="I156" s="6" t="s">
        <v>696</v>
      </c>
      <c r="J156" s="6"/>
      <c r="K156" s="6"/>
    </row>
    <row r="157" spans="1:12" ht="18" customHeight="1" x14ac:dyDescent="0.25">
      <c r="A157" s="6" t="s">
        <v>697</v>
      </c>
      <c r="B157" s="6" t="s">
        <v>413</v>
      </c>
      <c r="C157" s="6" t="s">
        <v>697</v>
      </c>
      <c r="D157" s="9" t="s">
        <v>28</v>
      </c>
      <c r="E157" s="8">
        <v>2</v>
      </c>
      <c r="F157" s="13">
        <v>500</v>
      </c>
      <c r="G157" s="8"/>
      <c r="H157" s="6" t="s">
        <v>698</v>
      </c>
      <c r="I157" s="6" t="s">
        <v>699</v>
      </c>
      <c r="J157" s="6"/>
      <c r="K157" s="6"/>
    </row>
    <row r="158" spans="1:12" ht="18" customHeight="1" x14ac:dyDescent="0.25">
      <c r="A158" s="6" t="s">
        <v>700</v>
      </c>
      <c r="B158" s="6" t="s">
        <v>226</v>
      </c>
      <c r="C158" s="6" t="s">
        <v>700</v>
      </c>
      <c r="D158" s="9" t="s">
        <v>28</v>
      </c>
      <c r="E158" s="8">
        <v>2</v>
      </c>
      <c r="F158" s="13">
        <v>490</v>
      </c>
      <c r="G158" s="8"/>
      <c r="H158" s="6" t="s">
        <v>701</v>
      </c>
      <c r="I158" s="6" t="s">
        <v>702</v>
      </c>
      <c r="J158" s="6"/>
      <c r="K158" s="6"/>
    </row>
    <row r="159" spans="1:12" ht="18" customHeight="1" x14ac:dyDescent="0.25">
      <c r="A159" s="6" t="s">
        <v>703</v>
      </c>
      <c r="B159" s="6" t="s">
        <v>26</v>
      </c>
      <c r="C159" s="6" t="s">
        <v>35</v>
      </c>
      <c r="D159" s="9" t="s">
        <v>36</v>
      </c>
      <c r="E159" s="8">
        <v>1</v>
      </c>
      <c r="F159" s="9">
        <v>200</v>
      </c>
      <c r="G159" s="8"/>
      <c r="H159" s="6" t="s">
        <v>37</v>
      </c>
      <c r="I159" s="6" t="s">
        <v>38</v>
      </c>
      <c r="J159" s="6"/>
      <c r="K159" s="6"/>
      <c r="L159" t="s">
        <v>704</v>
      </c>
    </row>
    <row r="160" spans="1:12" ht="18" customHeight="1" x14ac:dyDescent="0.25">
      <c r="A160" s="6" t="s">
        <v>705</v>
      </c>
      <c r="B160" s="6"/>
      <c r="C160" s="6" t="s">
        <v>40</v>
      </c>
      <c r="D160" s="9" t="s">
        <v>41</v>
      </c>
      <c r="E160" s="8">
        <v>1</v>
      </c>
      <c r="F160" s="9">
        <v>150</v>
      </c>
      <c r="G160" s="8"/>
      <c r="H160" s="6" t="s">
        <v>42</v>
      </c>
      <c r="I160" s="6"/>
      <c r="J160" s="6" t="s">
        <v>706</v>
      </c>
      <c r="K160" s="6" t="s">
        <v>707</v>
      </c>
      <c r="L160" t="s">
        <v>708</v>
      </c>
    </row>
    <row r="161" spans="1:11" ht="18" customHeight="1" x14ac:dyDescent="0.25">
      <c r="A161" s="6" t="s">
        <v>709</v>
      </c>
      <c r="B161" s="6"/>
      <c r="C161" s="6" t="s">
        <v>710</v>
      </c>
      <c r="D161" s="9" t="s">
        <v>41</v>
      </c>
      <c r="E161" s="8">
        <v>1</v>
      </c>
      <c r="F161" s="9">
        <v>250</v>
      </c>
      <c r="G161" s="8"/>
      <c r="H161" s="6"/>
      <c r="I161" s="6"/>
      <c r="J161" s="6"/>
      <c r="K161" s="6"/>
    </row>
    <row r="162" spans="1:11" ht="18" customHeight="1" x14ac:dyDescent="0.25">
      <c r="A162" s="6" t="s">
        <v>711</v>
      </c>
      <c r="B162" s="6"/>
      <c r="C162" s="6" t="s">
        <v>712</v>
      </c>
      <c r="D162" s="9" t="s">
        <v>41</v>
      </c>
      <c r="E162" s="8">
        <v>1</v>
      </c>
      <c r="F162" s="9">
        <v>350</v>
      </c>
      <c r="G162" s="8"/>
      <c r="H162" s="6"/>
      <c r="I162" s="6"/>
      <c r="J162" s="6"/>
      <c r="K162" s="6"/>
    </row>
    <row r="163" spans="1:11" ht="18" customHeight="1" x14ac:dyDescent="0.25">
      <c r="A163" s="6" t="s">
        <v>713</v>
      </c>
      <c r="B163" s="6"/>
      <c r="C163" s="6" t="s">
        <v>714</v>
      </c>
      <c r="D163" s="9" t="s">
        <v>41</v>
      </c>
      <c r="E163" s="8">
        <v>1</v>
      </c>
      <c r="F163" s="9">
        <v>450</v>
      </c>
      <c r="G163" s="8"/>
      <c r="H163" s="6"/>
      <c r="I163" s="6"/>
      <c r="J163" s="6"/>
      <c r="K163" s="6"/>
    </row>
    <row r="164" spans="1:11" ht="18" customHeight="1" x14ac:dyDescent="0.25">
      <c r="A164" s="6" t="s">
        <v>715</v>
      </c>
      <c r="B164" s="6"/>
      <c r="C164" s="6" t="s">
        <v>716</v>
      </c>
      <c r="D164" s="9" t="s">
        <v>41</v>
      </c>
      <c r="E164" s="8">
        <v>1</v>
      </c>
      <c r="F164" s="9">
        <v>550</v>
      </c>
      <c r="G164" s="8"/>
      <c r="H164" s="6"/>
      <c r="I164" s="6"/>
      <c r="J164" s="6"/>
      <c r="K164" s="6"/>
    </row>
    <row r="165" spans="1:11" ht="18" customHeight="1" x14ac:dyDescent="0.25">
      <c r="A165" s="6" t="s">
        <v>717</v>
      </c>
      <c r="B165" s="6"/>
      <c r="C165" s="6" t="s">
        <v>718</v>
      </c>
      <c r="D165" s="9" t="s">
        <v>41</v>
      </c>
      <c r="E165" s="8">
        <v>1</v>
      </c>
      <c r="F165" s="9">
        <v>650</v>
      </c>
      <c r="G165" s="8"/>
      <c r="H165" s="6"/>
      <c r="I165" s="6"/>
      <c r="J165" s="6"/>
      <c r="K165" s="6"/>
    </row>
    <row r="166" spans="1:11" ht="18" customHeight="1" x14ac:dyDescent="0.25">
      <c r="A166" s="6" t="s">
        <v>719</v>
      </c>
      <c r="B166" s="6"/>
      <c r="C166" s="6" t="s">
        <v>720</v>
      </c>
      <c r="D166" s="9" t="s">
        <v>41</v>
      </c>
      <c r="E166" s="8">
        <v>1</v>
      </c>
      <c r="F166" s="9">
        <v>750</v>
      </c>
      <c r="G166" s="8"/>
      <c r="H166" s="6"/>
      <c r="I166" s="6"/>
      <c r="J166" s="6"/>
      <c r="K166" s="6"/>
    </row>
    <row r="167" spans="1:11" ht="18" customHeight="1" x14ac:dyDescent="0.25">
      <c r="A167" s="6" t="s">
        <v>721</v>
      </c>
      <c r="B167" s="6"/>
      <c r="C167" s="6" t="s">
        <v>722</v>
      </c>
      <c r="D167" s="9" t="s">
        <v>41</v>
      </c>
      <c r="E167" s="8">
        <v>1</v>
      </c>
      <c r="F167" s="9">
        <v>850</v>
      </c>
      <c r="G167" s="8"/>
      <c r="H167" s="6"/>
      <c r="I167" s="6"/>
      <c r="J167" s="6"/>
      <c r="K167" s="6"/>
    </row>
    <row r="168" spans="1:11" ht="18" customHeight="1" x14ac:dyDescent="0.25">
      <c r="A168" s="6" t="s">
        <v>723</v>
      </c>
      <c r="B168" s="6"/>
      <c r="C168" s="6" t="s">
        <v>724</v>
      </c>
      <c r="D168" s="9" t="s">
        <v>41</v>
      </c>
      <c r="E168" s="8">
        <v>1</v>
      </c>
      <c r="F168" s="9">
        <v>950</v>
      </c>
      <c r="G168" s="8"/>
      <c r="H168" s="6"/>
      <c r="I168" s="6"/>
      <c r="J168" s="6"/>
      <c r="K168" s="6"/>
    </row>
    <row r="169" spans="1:11" ht="18" customHeight="1" x14ac:dyDescent="0.25">
      <c r="A169" s="6"/>
      <c r="B169" s="6"/>
      <c r="C169" s="6"/>
      <c r="D169" s="9"/>
      <c r="E169" s="8"/>
      <c r="F169" s="9"/>
      <c r="G169" s="8"/>
      <c r="H169" s="6"/>
      <c r="I169" s="6"/>
      <c r="J169" s="6"/>
      <c r="K169" s="6"/>
    </row>
    <row r="170" spans="1:11" ht="18" customHeight="1" x14ac:dyDescent="0.25">
      <c r="A170" s="6"/>
      <c r="B170" s="6"/>
      <c r="C170" s="6"/>
      <c r="D170" s="9"/>
      <c r="E170" s="8"/>
      <c r="F170" s="9"/>
      <c r="G170" s="8"/>
      <c r="H170" s="6"/>
      <c r="I170" s="6"/>
      <c r="J170" s="6"/>
      <c r="K170" s="6"/>
    </row>
    <row r="171" spans="1:11" ht="18" customHeight="1" x14ac:dyDescent="0.25">
      <c r="A171" s="6"/>
      <c r="B171" s="6"/>
      <c r="C171" s="6"/>
      <c r="D171" s="9"/>
      <c r="E171" s="8"/>
      <c r="F171" s="9"/>
      <c r="G171" s="8"/>
      <c r="H171" s="6"/>
      <c r="I171" s="6"/>
      <c r="J171" s="6"/>
      <c r="K171" s="6"/>
    </row>
    <row r="172" spans="1:11" ht="18" customHeight="1" x14ac:dyDescent="0.25">
      <c r="A172" s="6"/>
      <c r="B172" s="6"/>
      <c r="C172" s="6"/>
      <c r="D172" s="9"/>
      <c r="E172" s="8"/>
      <c r="F172" s="9"/>
      <c r="G172" s="8"/>
      <c r="H172" s="6"/>
      <c r="I172" s="6"/>
      <c r="J172" s="6"/>
      <c r="K172" s="6"/>
    </row>
    <row r="173" spans="1:11" ht="18" customHeight="1" x14ac:dyDescent="0.25">
      <c r="A173" s="6"/>
      <c r="B173" s="6"/>
      <c r="C173" s="6"/>
      <c r="D173" s="9"/>
      <c r="E173" s="8"/>
      <c r="F173" s="9"/>
      <c r="G173" s="8"/>
      <c r="H173" s="6"/>
      <c r="I173" s="6"/>
      <c r="J173" s="6"/>
      <c r="K173" s="6"/>
    </row>
    <row r="174" spans="1:11" ht="18" customHeight="1" x14ac:dyDescent="0.25">
      <c r="A174" s="6"/>
      <c r="B174" s="6"/>
      <c r="C174" s="6"/>
      <c r="D174" s="9"/>
      <c r="E174" s="8"/>
      <c r="F174" s="9"/>
      <c r="G174" s="8"/>
      <c r="H174" s="6"/>
      <c r="I174" s="6"/>
      <c r="J174" s="6"/>
      <c r="K174" s="6"/>
    </row>
    <row r="175" spans="1:11" ht="18" customHeight="1" x14ac:dyDescent="0.25">
      <c r="A175" s="6"/>
      <c r="B175" s="6"/>
      <c r="C175" s="6"/>
      <c r="D175" s="9"/>
      <c r="E175" s="8"/>
      <c r="F175" s="9"/>
      <c r="G175" s="8"/>
      <c r="H175" s="6"/>
      <c r="I175" s="6"/>
      <c r="J175" s="6"/>
      <c r="K175" s="6"/>
    </row>
    <row r="176" spans="1:11" ht="18" customHeight="1" x14ac:dyDescent="0.25">
      <c r="A176" s="6"/>
      <c r="B176" s="6"/>
      <c r="C176" s="6"/>
      <c r="D176" s="9"/>
      <c r="E176" s="8"/>
      <c r="F176" s="9"/>
      <c r="G176" s="8"/>
      <c r="H176" s="6"/>
      <c r="I176" s="6"/>
      <c r="J176" s="6"/>
      <c r="K176" s="6"/>
    </row>
    <row r="177" spans="1:11" ht="18" customHeight="1" x14ac:dyDescent="0.25">
      <c r="A177" s="6"/>
      <c r="B177" s="6"/>
      <c r="C177" s="6"/>
      <c r="D177" s="9"/>
      <c r="E177" s="8"/>
      <c r="F177" s="9"/>
      <c r="G177" s="8"/>
      <c r="H177" s="6"/>
      <c r="I177" s="6"/>
      <c r="J177" s="6"/>
      <c r="K177" s="6"/>
    </row>
    <row r="178" spans="1:11" ht="18" customHeight="1" x14ac:dyDescent="0.25">
      <c r="A178" s="6"/>
      <c r="B178" s="6"/>
      <c r="C178" s="6"/>
      <c r="D178" s="9"/>
      <c r="E178" s="8"/>
      <c r="F178" s="9"/>
      <c r="G178" s="8"/>
      <c r="H178" s="6"/>
      <c r="I178" s="6"/>
      <c r="J178" s="6"/>
      <c r="K178" s="6"/>
    </row>
    <row r="179" spans="1:11" ht="18" customHeight="1" x14ac:dyDescent="0.25">
      <c r="A179" s="6"/>
      <c r="B179" s="6"/>
      <c r="C179" s="6"/>
      <c r="D179" s="9"/>
      <c r="E179" s="8"/>
      <c r="F179" s="9"/>
      <c r="G179" s="8"/>
      <c r="H179" s="6"/>
      <c r="I179" s="6"/>
      <c r="J179" s="6"/>
      <c r="K179" s="6"/>
    </row>
    <row r="180" spans="1:11" ht="18" customHeight="1" x14ac:dyDescent="0.25">
      <c r="A180" s="6"/>
      <c r="B180" s="6"/>
      <c r="C180" s="6"/>
      <c r="D180" s="9"/>
      <c r="E180" s="8"/>
      <c r="F180" s="9"/>
      <c r="G180" s="8"/>
      <c r="H180" s="6"/>
      <c r="I180" s="6"/>
      <c r="J180" s="6"/>
      <c r="K180" s="6"/>
    </row>
    <row r="181" spans="1:11" ht="18" customHeight="1" x14ac:dyDescent="0.25">
      <c r="A181" s="6"/>
      <c r="B181" s="6"/>
      <c r="C181" s="6"/>
      <c r="D181" s="9"/>
      <c r="E181" s="8"/>
      <c r="F181" s="9"/>
      <c r="G181" s="8"/>
      <c r="H181" s="6"/>
      <c r="I181" s="6"/>
      <c r="J181" s="6"/>
      <c r="K181" s="6"/>
    </row>
    <row r="182" spans="1:11" ht="18" customHeight="1" x14ac:dyDescent="0.25">
      <c r="A182" s="6"/>
      <c r="B182" s="6"/>
      <c r="C182" s="6"/>
      <c r="D182" s="9"/>
      <c r="E182" s="8"/>
      <c r="F182" s="9"/>
      <c r="G182" s="8"/>
      <c r="H182" s="6"/>
      <c r="I182" s="6"/>
      <c r="J182" s="6"/>
      <c r="K182" s="6"/>
    </row>
    <row r="183" spans="1:11" ht="18" customHeight="1" x14ac:dyDescent="0.25">
      <c r="A183" s="6"/>
      <c r="B183" s="6"/>
      <c r="C183" s="6"/>
      <c r="D183" s="9"/>
      <c r="E183" s="8"/>
      <c r="F183" s="9"/>
      <c r="G183" s="8"/>
      <c r="H183" s="6"/>
      <c r="I183" s="6"/>
      <c r="J183" s="6"/>
      <c r="K183" s="6"/>
    </row>
    <row r="184" spans="1:11" ht="18" customHeight="1" x14ac:dyDescent="0.25">
      <c r="A184" s="6"/>
      <c r="B184" s="6"/>
      <c r="C184" s="6"/>
      <c r="D184" s="9"/>
      <c r="E184" s="8"/>
      <c r="F184" s="9"/>
      <c r="G184" s="8"/>
      <c r="H184" s="6"/>
      <c r="I184" s="6"/>
      <c r="J184" s="6"/>
      <c r="K184" s="6"/>
    </row>
    <row r="185" spans="1:11" ht="18" customHeight="1" x14ac:dyDescent="0.25">
      <c r="A185" s="6"/>
      <c r="B185" s="6"/>
      <c r="C185" s="6"/>
      <c r="D185" s="9"/>
      <c r="E185" s="8"/>
      <c r="F185" s="9"/>
      <c r="G185" s="8"/>
      <c r="H185" s="6"/>
      <c r="I185" s="6"/>
      <c r="J185" s="6"/>
      <c r="K185" s="6"/>
    </row>
    <row r="186" spans="1:11" ht="18" customHeight="1" x14ac:dyDescent="0.25">
      <c r="A186" s="6"/>
      <c r="B186" s="6"/>
      <c r="C186" s="6"/>
      <c r="D186" s="9"/>
      <c r="E186" s="8"/>
      <c r="F186" s="9"/>
      <c r="G186" s="8"/>
      <c r="H186" s="6"/>
      <c r="I186" s="6"/>
      <c r="J186" s="6"/>
      <c r="K186" s="6"/>
    </row>
    <row r="187" spans="1:11" ht="18" customHeight="1" x14ac:dyDescent="0.25">
      <c r="A187" s="6"/>
      <c r="B187" s="6"/>
      <c r="C187" s="6"/>
      <c r="D187" s="9"/>
      <c r="E187" s="8"/>
      <c r="F187" s="9"/>
      <c r="G187" s="8"/>
      <c r="H187" s="6"/>
      <c r="I187" s="6"/>
      <c r="J187" s="6"/>
      <c r="K187" s="6"/>
    </row>
    <row r="188" spans="1:11" ht="18" customHeight="1" x14ac:dyDescent="0.25">
      <c r="A188" s="6"/>
      <c r="B188" s="6"/>
      <c r="C188" s="6"/>
      <c r="D188" s="9"/>
      <c r="E188" s="8"/>
      <c r="F188" s="9"/>
      <c r="G188" s="8"/>
      <c r="H188" s="6"/>
      <c r="I188" s="6"/>
      <c r="J188" s="6"/>
      <c r="K188" s="6"/>
    </row>
    <row r="189" spans="1:11" ht="18" customHeight="1" x14ac:dyDescent="0.25">
      <c r="A189" s="6"/>
      <c r="B189" s="6"/>
      <c r="C189" s="6"/>
      <c r="D189" s="9"/>
      <c r="E189" s="8"/>
      <c r="F189" s="9"/>
      <c r="G189" s="8"/>
      <c r="H189" s="6"/>
      <c r="I189" s="6"/>
      <c r="J189" s="6"/>
      <c r="K189" s="6"/>
    </row>
    <row r="190" spans="1:11" ht="18" customHeight="1" x14ac:dyDescent="0.25">
      <c r="A190" s="6"/>
      <c r="B190" s="6"/>
      <c r="C190" s="6"/>
      <c r="D190" s="9"/>
      <c r="E190" s="8"/>
      <c r="F190" s="9"/>
      <c r="G190" s="8"/>
      <c r="H190" s="6"/>
      <c r="I190" s="6"/>
      <c r="J190" s="6"/>
      <c r="K190" s="6"/>
    </row>
    <row r="191" spans="1:11" ht="18" customHeight="1" x14ac:dyDescent="0.25">
      <c r="A191" s="6"/>
      <c r="B191" s="6"/>
      <c r="C191" s="6"/>
      <c r="D191" s="9"/>
      <c r="E191" s="8"/>
      <c r="F191" s="9"/>
      <c r="G191" s="8"/>
      <c r="H191" s="6"/>
      <c r="I191" s="6"/>
      <c r="J191" s="6"/>
      <c r="K191" s="6"/>
    </row>
    <row r="192" spans="1:11" ht="18" customHeight="1" x14ac:dyDescent="0.25">
      <c r="A192" s="6"/>
      <c r="B192" s="6"/>
      <c r="C192" s="6"/>
      <c r="D192" s="9"/>
      <c r="E192" s="8"/>
      <c r="F192" s="9"/>
      <c r="G192" s="8"/>
      <c r="H192" s="6"/>
      <c r="I192" s="6"/>
      <c r="J192" s="6"/>
      <c r="K192" s="6"/>
    </row>
    <row r="193" spans="1:11" ht="18" customHeight="1" x14ac:dyDescent="0.25">
      <c r="A193" s="6"/>
      <c r="B193" s="6"/>
      <c r="C193" s="6"/>
      <c r="D193" s="9"/>
      <c r="E193" s="8"/>
      <c r="F193" s="9"/>
      <c r="G193" s="8"/>
      <c r="H193" s="6"/>
      <c r="I193" s="6"/>
      <c r="J193" s="6"/>
      <c r="K193" s="6"/>
    </row>
    <row r="194" spans="1:11" ht="18" customHeight="1" x14ac:dyDescent="0.25">
      <c r="A194" s="6"/>
      <c r="B194" s="6"/>
      <c r="C194" s="6"/>
      <c r="D194" s="9"/>
      <c r="E194" s="8"/>
      <c r="F194" s="9"/>
      <c r="G194" s="8"/>
      <c r="H194" s="6"/>
      <c r="I194" s="6"/>
      <c r="J194" s="6"/>
      <c r="K194" s="6"/>
    </row>
    <row r="195" spans="1:11" ht="18" customHeight="1" x14ac:dyDescent="0.25">
      <c r="A195" s="6"/>
      <c r="B195" s="6"/>
      <c r="C195" s="6"/>
      <c r="D195" s="9"/>
      <c r="E195" s="8"/>
      <c r="F195" s="9"/>
      <c r="G195" s="8"/>
      <c r="H195" s="6"/>
      <c r="I195" s="6"/>
      <c r="J195" s="6"/>
      <c r="K195" s="6"/>
    </row>
    <row r="196" spans="1:11" ht="18" customHeight="1" x14ac:dyDescent="0.25">
      <c r="A196" s="6"/>
      <c r="B196" s="6"/>
      <c r="C196" s="6"/>
      <c r="D196" s="9"/>
      <c r="E196" s="8"/>
      <c r="F196" s="9"/>
      <c r="G196" s="8"/>
      <c r="H196" s="6"/>
      <c r="I196" s="6"/>
      <c r="J196" s="6"/>
      <c r="K196" s="6"/>
    </row>
    <row r="197" spans="1:11" ht="18" customHeight="1" x14ac:dyDescent="0.25">
      <c r="A197" s="6"/>
      <c r="B197" s="6"/>
      <c r="C197" s="6"/>
      <c r="D197" s="9"/>
      <c r="E197" s="8"/>
      <c r="F197" s="9"/>
      <c r="G197" s="8"/>
      <c r="H197" s="6"/>
      <c r="I197" s="6"/>
      <c r="J197" s="6"/>
      <c r="K197" s="6"/>
    </row>
  </sheetData>
  <mergeCells count="3">
    <mergeCell ref="A2:K2"/>
    <mergeCell ref="A6:K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14" customWidth="1"/>
    <col min="2" max="2" width="26" customWidth="1"/>
    <col min="3" max="3" width="36" customWidth="1"/>
    <col min="4" max="4" width="10" customWidth="1"/>
    <col min="5" max="5" width="12" customWidth="1"/>
    <col min="6" max="6" width="10" customWidth="1"/>
    <col min="7" max="7" width="28" customWidth="1"/>
  </cols>
  <sheetData>
    <row r="1" spans="1:7" ht="30" customHeight="1" x14ac:dyDescent="0.25">
      <c r="A1" s="39" t="s">
        <v>45</v>
      </c>
      <c r="B1" s="36"/>
      <c r="C1" s="36"/>
      <c r="D1" s="36"/>
      <c r="E1" s="36"/>
      <c r="F1" s="36"/>
      <c r="G1" s="36"/>
    </row>
    <row r="2" spans="1:7" ht="18" customHeight="1" x14ac:dyDescent="0.25">
      <c r="A2" s="35" t="s">
        <v>46</v>
      </c>
      <c r="B2" s="36"/>
      <c r="C2" s="36"/>
      <c r="D2" s="36"/>
      <c r="E2" s="36"/>
      <c r="F2" s="36"/>
      <c r="G2" s="36"/>
    </row>
    <row r="3" spans="1:7" ht="20.100000000000001" customHeight="1" x14ac:dyDescent="0.25">
      <c r="A3" s="1" t="s">
        <v>47</v>
      </c>
      <c r="B3" s="1" t="s">
        <v>4</v>
      </c>
      <c r="C3" s="1" t="s">
        <v>2</v>
      </c>
      <c r="D3" s="1" t="s">
        <v>6</v>
      </c>
      <c r="E3" s="1" t="s">
        <v>48</v>
      </c>
      <c r="F3" s="1" t="s">
        <v>49</v>
      </c>
      <c r="G3" s="1" t="s">
        <v>50</v>
      </c>
    </row>
    <row r="4" spans="1:7" ht="24" customHeight="1" x14ac:dyDescent="0.25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e">
        <f>D*E (auto)</f>
        <v>#NAME?</v>
      </c>
      <c r="G4" s="5" t="s">
        <v>56</v>
      </c>
    </row>
    <row r="5" spans="1:7" ht="18" customHeight="1" x14ac:dyDescent="0.25">
      <c r="A5" s="6" t="s">
        <v>57</v>
      </c>
      <c r="B5" s="6" t="s">
        <v>27</v>
      </c>
      <c r="C5" s="19" t="s">
        <v>25</v>
      </c>
      <c r="D5" s="8">
        <v>4</v>
      </c>
      <c r="E5" s="9">
        <v>68</v>
      </c>
      <c r="F5" s="9">
        <f t="shared" ref="F5:F34" si="0">D5*E5</f>
        <v>272</v>
      </c>
      <c r="G5" s="19" t="s">
        <v>58</v>
      </c>
    </row>
    <row r="6" spans="1:7" ht="18" customHeight="1" x14ac:dyDescent="0.25">
      <c r="A6" s="10" t="s">
        <v>57</v>
      </c>
      <c r="B6" s="10" t="s">
        <v>32</v>
      </c>
      <c r="C6" s="20" t="s">
        <v>30</v>
      </c>
      <c r="D6" s="12">
        <v>2</v>
      </c>
      <c r="E6" s="13">
        <v>200</v>
      </c>
      <c r="F6" s="13">
        <f t="shared" si="0"/>
        <v>400</v>
      </c>
      <c r="G6" s="20" t="s">
        <v>58</v>
      </c>
    </row>
    <row r="7" spans="1:7" ht="18" customHeight="1" x14ac:dyDescent="0.25">
      <c r="A7" s="6" t="s">
        <v>57</v>
      </c>
      <c r="B7" s="6" t="s">
        <v>35</v>
      </c>
      <c r="C7" s="19" t="s">
        <v>34</v>
      </c>
      <c r="D7" s="8">
        <v>1</v>
      </c>
      <c r="E7" s="9">
        <v>144</v>
      </c>
      <c r="F7" s="9">
        <f t="shared" si="0"/>
        <v>144</v>
      </c>
      <c r="G7" s="19" t="s">
        <v>59</v>
      </c>
    </row>
    <row r="8" spans="1:7" ht="18" customHeight="1" x14ac:dyDescent="0.25">
      <c r="A8" s="10" t="s">
        <v>57</v>
      </c>
      <c r="B8" s="10" t="s">
        <v>40</v>
      </c>
      <c r="C8" s="20" t="s">
        <v>39</v>
      </c>
      <c r="D8" s="12">
        <v>1</v>
      </c>
      <c r="E8" s="13">
        <v>256</v>
      </c>
      <c r="F8" s="13">
        <f t="shared" si="0"/>
        <v>256</v>
      </c>
      <c r="G8" s="20" t="s">
        <v>58</v>
      </c>
    </row>
    <row r="9" spans="1:7" ht="18" customHeight="1" x14ac:dyDescent="0.25">
      <c r="A9" s="6" t="s">
        <v>57</v>
      </c>
      <c r="B9" s="6" t="s">
        <v>44</v>
      </c>
      <c r="C9" s="19" t="s">
        <v>43</v>
      </c>
      <c r="D9" s="8">
        <v>1</v>
      </c>
      <c r="E9" s="9">
        <v>76</v>
      </c>
      <c r="F9" s="9">
        <f t="shared" si="0"/>
        <v>76</v>
      </c>
      <c r="G9" s="19" t="s">
        <v>58</v>
      </c>
    </row>
    <row r="10" spans="1:7" ht="18" customHeight="1" x14ac:dyDescent="0.25">
      <c r="A10" s="15"/>
      <c r="B10" s="15"/>
      <c r="C10" s="15"/>
      <c r="D10" s="15"/>
      <c r="E10" s="15"/>
      <c r="F10" s="16">
        <f t="shared" si="0"/>
        <v>0</v>
      </c>
      <c r="G10" s="15"/>
    </row>
    <row r="11" spans="1:7" ht="18" customHeight="1" x14ac:dyDescent="0.25">
      <c r="A11" s="17"/>
      <c r="B11" s="17"/>
      <c r="C11" s="17"/>
      <c r="D11" s="17"/>
      <c r="E11" s="17"/>
      <c r="F11" s="18">
        <f t="shared" si="0"/>
        <v>0</v>
      </c>
      <c r="G11" s="17"/>
    </row>
    <row r="12" spans="1:7" ht="18" customHeight="1" x14ac:dyDescent="0.25">
      <c r="A12" s="15"/>
      <c r="B12" s="15"/>
      <c r="C12" s="15"/>
      <c r="D12" s="15"/>
      <c r="E12" s="15"/>
      <c r="F12" s="16">
        <f t="shared" si="0"/>
        <v>0</v>
      </c>
      <c r="G12" s="15"/>
    </row>
    <row r="13" spans="1:7" ht="18" customHeight="1" x14ac:dyDescent="0.25">
      <c r="A13" s="17"/>
      <c r="B13" s="17"/>
      <c r="C13" s="17"/>
      <c r="D13" s="17"/>
      <c r="E13" s="17"/>
      <c r="F13" s="18">
        <f t="shared" si="0"/>
        <v>0</v>
      </c>
      <c r="G13" s="17"/>
    </row>
    <row r="14" spans="1:7" ht="18" customHeight="1" x14ac:dyDescent="0.25">
      <c r="A14" s="15"/>
      <c r="B14" s="15"/>
      <c r="C14" s="15"/>
      <c r="D14" s="15"/>
      <c r="E14" s="15"/>
      <c r="F14" s="16">
        <f t="shared" si="0"/>
        <v>0</v>
      </c>
      <c r="G14" s="15"/>
    </row>
    <row r="15" spans="1:7" ht="18" customHeight="1" x14ac:dyDescent="0.25">
      <c r="A15" s="17"/>
      <c r="B15" s="17"/>
      <c r="C15" s="17"/>
      <c r="D15" s="17"/>
      <c r="E15" s="17"/>
      <c r="F15" s="18">
        <f t="shared" si="0"/>
        <v>0</v>
      </c>
      <c r="G15" s="17"/>
    </row>
    <row r="16" spans="1:7" ht="18" customHeight="1" x14ac:dyDescent="0.25">
      <c r="A16" s="15"/>
      <c r="B16" s="15"/>
      <c r="C16" s="15"/>
      <c r="D16" s="15"/>
      <c r="E16" s="15"/>
      <c r="F16" s="16">
        <f t="shared" si="0"/>
        <v>0</v>
      </c>
      <c r="G16" s="15"/>
    </row>
    <row r="17" spans="1:7" ht="18" customHeight="1" x14ac:dyDescent="0.25">
      <c r="A17" s="17"/>
      <c r="B17" s="17"/>
      <c r="C17" s="17"/>
      <c r="D17" s="17"/>
      <c r="E17" s="17"/>
      <c r="F17" s="18">
        <f t="shared" si="0"/>
        <v>0</v>
      </c>
      <c r="G17" s="17"/>
    </row>
    <row r="18" spans="1:7" ht="18" customHeight="1" x14ac:dyDescent="0.25">
      <c r="A18" s="15"/>
      <c r="B18" s="15"/>
      <c r="C18" s="15"/>
      <c r="D18" s="15"/>
      <c r="E18" s="15"/>
      <c r="F18" s="16">
        <f t="shared" si="0"/>
        <v>0</v>
      </c>
      <c r="G18" s="15"/>
    </row>
    <row r="19" spans="1:7" ht="18" customHeight="1" x14ac:dyDescent="0.25">
      <c r="A19" s="17"/>
      <c r="B19" s="17"/>
      <c r="C19" s="17"/>
      <c r="D19" s="17"/>
      <c r="E19" s="17"/>
      <c r="F19" s="18">
        <f t="shared" si="0"/>
        <v>0</v>
      </c>
      <c r="G19" s="17"/>
    </row>
    <row r="20" spans="1:7" ht="18" customHeight="1" x14ac:dyDescent="0.25">
      <c r="A20" s="15"/>
      <c r="B20" s="15"/>
      <c r="C20" s="15"/>
      <c r="D20" s="15"/>
      <c r="E20" s="15"/>
      <c r="F20" s="16">
        <f t="shared" si="0"/>
        <v>0</v>
      </c>
      <c r="G20" s="15"/>
    </row>
    <row r="21" spans="1:7" ht="18" customHeight="1" x14ac:dyDescent="0.25">
      <c r="A21" s="17"/>
      <c r="B21" s="17"/>
      <c r="C21" s="17"/>
      <c r="D21" s="17"/>
      <c r="E21" s="17"/>
      <c r="F21" s="18">
        <f t="shared" si="0"/>
        <v>0</v>
      </c>
      <c r="G21" s="17"/>
    </row>
    <row r="22" spans="1:7" ht="18" customHeight="1" x14ac:dyDescent="0.25">
      <c r="A22" s="15"/>
      <c r="B22" s="15"/>
      <c r="C22" s="15"/>
      <c r="D22" s="15"/>
      <c r="E22" s="15"/>
      <c r="F22" s="16">
        <f t="shared" si="0"/>
        <v>0</v>
      </c>
      <c r="G22" s="15"/>
    </row>
    <row r="23" spans="1:7" ht="18" customHeight="1" x14ac:dyDescent="0.25">
      <c r="A23" s="17"/>
      <c r="B23" s="17"/>
      <c r="C23" s="17"/>
      <c r="D23" s="17"/>
      <c r="E23" s="17"/>
      <c r="F23" s="18">
        <f t="shared" si="0"/>
        <v>0</v>
      </c>
      <c r="G23" s="17"/>
    </row>
    <row r="24" spans="1:7" ht="18" customHeight="1" x14ac:dyDescent="0.25">
      <c r="A24" s="15"/>
      <c r="B24" s="15"/>
      <c r="C24" s="15"/>
      <c r="D24" s="15"/>
      <c r="E24" s="15"/>
      <c r="F24" s="16">
        <f t="shared" si="0"/>
        <v>0</v>
      </c>
      <c r="G24" s="15"/>
    </row>
    <row r="25" spans="1:7" ht="18" customHeight="1" x14ac:dyDescent="0.25">
      <c r="A25" s="17"/>
      <c r="B25" s="17"/>
      <c r="C25" s="17"/>
      <c r="D25" s="17"/>
      <c r="E25" s="17"/>
      <c r="F25" s="18">
        <f t="shared" si="0"/>
        <v>0</v>
      </c>
      <c r="G25" s="17"/>
    </row>
    <row r="26" spans="1:7" ht="18" customHeight="1" x14ac:dyDescent="0.25">
      <c r="A26" s="15"/>
      <c r="B26" s="15"/>
      <c r="C26" s="15"/>
      <c r="D26" s="15"/>
      <c r="E26" s="15"/>
      <c r="F26" s="16">
        <f t="shared" si="0"/>
        <v>0</v>
      </c>
      <c r="G26" s="15"/>
    </row>
    <row r="27" spans="1:7" ht="18" customHeight="1" x14ac:dyDescent="0.25">
      <c r="A27" s="17"/>
      <c r="B27" s="17"/>
      <c r="C27" s="17"/>
      <c r="D27" s="17"/>
      <c r="E27" s="17"/>
      <c r="F27" s="18">
        <f t="shared" si="0"/>
        <v>0</v>
      </c>
      <c r="G27" s="17"/>
    </row>
    <row r="28" spans="1:7" ht="18" customHeight="1" x14ac:dyDescent="0.25">
      <c r="A28" s="15"/>
      <c r="B28" s="15"/>
      <c r="C28" s="15"/>
      <c r="D28" s="15"/>
      <c r="E28" s="15"/>
      <c r="F28" s="16">
        <f t="shared" si="0"/>
        <v>0</v>
      </c>
      <c r="G28" s="15"/>
    </row>
    <row r="29" spans="1:7" ht="18" customHeight="1" x14ac:dyDescent="0.25">
      <c r="A29" s="17"/>
      <c r="B29" s="17"/>
      <c r="C29" s="17"/>
      <c r="D29" s="17"/>
      <c r="E29" s="17"/>
      <c r="F29" s="18">
        <f t="shared" si="0"/>
        <v>0</v>
      </c>
      <c r="G29" s="17"/>
    </row>
    <row r="30" spans="1:7" ht="18" customHeight="1" x14ac:dyDescent="0.25">
      <c r="A30" s="15"/>
      <c r="B30" s="15"/>
      <c r="C30" s="15"/>
      <c r="D30" s="15"/>
      <c r="E30" s="15"/>
      <c r="F30" s="16">
        <f t="shared" si="0"/>
        <v>0</v>
      </c>
      <c r="G30" s="15"/>
    </row>
    <row r="31" spans="1:7" ht="18" customHeight="1" x14ac:dyDescent="0.25">
      <c r="A31" s="17"/>
      <c r="B31" s="17"/>
      <c r="C31" s="17"/>
      <c r="D31" s="17"/>
      <c r="E31" s="17"/>
      <c r="F31" s="18">
        <f t="shared" si="0"/>
        <v>0</v>
      </c>
      <c r="G31" s="17"/>
    </row>
    <row r="32" spans="1:7" ht="18" customHeight="1" x14ac:dyDescent="0.25">
      <c r="A32" s="15"/>
      <c r="B32" s="15"/>
      <c r="C32" s="15"/>
      <c r="D32" s="15"/>
      <c r="E32" s="15"/>
      <c r="F32" s="16">
        <f t="shared" si="0"/>
        <v>0</v>
      </c>
      <c r="G32" s="15"/>
    </row>
    <row r="33" spans="1:7" ht="18" customHeight="1" x14ac:dyDescent="0.25">
      <c r="A33" s="17"/>
      <c r="B33" s="17"/>
      <c r="C33" s="17"/>
      <c r="D33" s="17"/>
      <c r="E33" s="17"/>
      <c r="F33" s="18">
        <f t="shared" si="0"/>
        <v>0</v>
      </c>
      <c r="G33" s="17"/>
    </row>
    <row r="34" spans="1:7" ht="18" customHeight="1" x14ac:dyDescent="0.25">
      <c r="A34" s="15"/>
      <c r="B34" s="15"/>
      <c r="C34" s="15"/>
      <c r="D34" s="15"/>
      <c r="E34" s="15"/>
      <c r="F34" s="16">
        <f t="shared" si="0"/>
        <v>0</v>
      </c>
      <c r="G34" s="15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8" customWidth="1"/>
    <col min="2" max="2" width="16" customWidth="1"/>
    <col min="3" max="3" width="10" customWidth="1"/>
    <col min="4" max="4" width="36" customWidth="1"/>
    <col min="5" max="5" width="8" customWidth="1"/>
    <col min="6" max="10" width="12" customWidth="1"/>
    <col min="11" max="12" width="14" customWidth="1"/>
  </cols>
  <sheetData>
    <row r="1" spans="1:12" ht="30" customHeight="1" x14ac:dyDescent="0.25">
      <c r="A1" s="39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18" customHeight="1" x14ac:dyDescent="0.25">
      <c r="A2" s="35" t="s">
        <v>61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15.95" customHeight="1" x14ac:dyDescent="0.25">
      <c r="A3" s="37" t="s">
        <v>62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ht="20.100000000000001" customHeight="1" x14ac:dyDescent="0.25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2" t="s">
        <v>74</v>
      </c>
    </row>
    <row r="5" spans="1:12" ht="24" customHeight="1" x14ac:dyDescent="0.25">
      <c r="A5" s="5" t="s">
        <v>75</v>
      </c>
      <c r="B5" s="5" t="s">
        <v>76</v>
      </c>
      <c r="C5" s="5" t="s">
        <v>77</v>
      </c>
      <c r="D5" s="5" t="s">
        <v>78</v>
      </c>
      <c r="E5" s="5" t="s">
        <v>79</v>
      </c>
      <c r="F5" s="5" t="s">
        <v>80</v>
      </c>
      <c r="G5" s="5" t="s">
        <v>81</v>
      </c>
      <c r="H5" s="5" t="s">
        <v>82</v>
      </c>
      <c r="I5" s="5" t="s">
        <v>83</v>
      </c>
      <c r="J5" s="5" t="s">
        <v>84</v>
      </c>
      <c r="K5" s="5" t="s">
        <v>85</v>
      </c>
      <c r="L5" s="5" t="s">
        <v>86</v>
      </c>
    </row>
    <row r="6" spans="1:12" ht="18" customHeight="1" x14ac:dyDescent="0.25">
      <c r="A6" s="6" t="s">
        <v>87</v>
      </c>
      <c r="B6" s="6" t="s">
        <v>88</v>
      </c>
      <c r="C6" s="6" t="s">
        <v>89</v>
      </c>
      <c r="D6" s="6" t="s">
        <v>32</v>
      </c>
      <c r="E6" s="6">
        <v>1</v>
      </c>
      <c r="F6" s="6">
        <v>250</v>
      </c>
      <c r="G6" s="6"/>
      <c r="H6" s="6" t="s">
        <v>90</v>
      </c>
      <c r="I6" s="6"/>
      <c r="J6" s="6" t="s">
        <v>90</v>
      </c>
      <c r="K6" s="6" t="s">
        <v>91</v>
      </c>
      <c r="L6" s="16">
        <f>H6-(E6*IFERROR(AVERAGEIF('Purchase History'!B:B,D6,'Purchase History'!E:E),0))</f>
        <v>50</v>
      </c>
    </row>
    <row r="7" spans="1:12" ht="18" customHeight="1" x14ac:dyDescent="0.25">
      <c r="A7" s="10" t="s">
        <v>87</v>
      </c>
      <c r="B7" s="10" t="s">
        <v>88</v>
      </c>
      <c r="C7" s="10" t="s">
        <v>89</v>
      </c>
      <c r="D7" s="10" t="s">
        <v>27</v>
      </c>
      <c r="E7" s="10">
        <v>2</v>
      </c>
      <c r="F7" s="10">
        <v>85</v>
      </c>
      <c r="G7" s="10"/>
      <c r="H7" s="10" t="s">
        <v>92</v>
      </c>
      <c r="I7" s="10"/>
      <c r="J7" s="10"/>
      <c r="K7" s="10"/>
      <c r="L7" s="18">
        <f>H7-(E7*IFERROR(AVERAGEIF('Purchase History'!B:B,D7,'Purchase History'!E:E),0))</f>
        <v>34</v>
      </c>
    </row>
    <row r="8" spans="1:12" ht="18" customHeight="1" x14ac:dyDescent="0.25">
      <c r="A8" s="6" t="s">
        <v>87</v>
      </c>
      <c r="B8" s="6" t="s">
        <v>88</v>
      </c>
      <c r="C8" s="6" t="s">
        <v>89</v>
      </c>
      <c r="D8" s="6" t="s">
        <v>93</v>
      </c>
      <c r="E8" s="6"/>
      <c r="F8" s="6"/>
      <c r="G8" s="6"/>
      <c r="H8" s="6"/>
      <c r="I8" s="6" t="s">
        <v>94</v>
      </c>
      <c r="J8" s="6" t="s">
        <v>95</v>
      </c>
      <c r="K8" s="6"/>
      <c r="L8" s="21"/>
    </row>
    <row r="9" spans="1:12" ht="18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6" t="str">
        <f>IF(E9&lt;&gt;"",H9-(E9*IFERROR(AVERAGEIF('Purchase History'!B:B,D9,'Purchase History'!E:E),0)),"")</f>
        <v/>
      </c>
    </row>
    <row r="10" spans="1:12" ht="18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8" t="str">
        <f>IF(E10&lt;&gt;"",H10-(E10*IFERROR(AVERAGEIF('Purchase History'!B:B,D10,'Purchase History'!E:E),0)),"")</f>
        <v/>
      </c>
    </row>
    <row r="11" spans="1:12" ht="18" customHeight="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6" t="str">
        <f>IF(E11&lt;&gt;"",H11-(E11*IFERROR(AVERAGEIF('Purchase History'!B:B,D11,'Purchase History'!E:E),0)),"")</f>
        <v/>
      </c>
    </row>
    <row r="12" spans="1:12" ht="18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>IF(E12&lt;&gt;"",H12-(E12*IFERROR(AVERAGEIF('Purchase History'!B:B,D12,'Purchase History'!E:E),0)),"")</f>
        <v/>
      </c>
    </row>
    <row r="13" spans="1:12" ht="18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 t="str">
        <f>IF(E13&lt;&gt;"",H13-(E13*IFERROR(AVERAGEIF('Purchase History'!B:B,D13,'Purchase History'!E:E),0)),"")</f>
        <v/>
      </c>
    </row>
    <row r="14" spans="1:12" ht="18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 t="str">
        <f>IF(E14&lt;&gt;"",H14-(E14*IFERROR(AVERAGEIF('Purchase History'!B:B,D14,'Purchase History'!E:E),0)),"")</f>
        <v/>
      </c>
    </row>
    <row r="15" spans="1:12" ht="18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6" t="str">
        <f>IF(E15&lt;&gt;"",H15-(E15*IFERROR(AVERAGEIF('Purchase History'!B:B,D15,'Purchase History'!E:E),0)),"")</f>
        <v/>
      </c>
    </row>
    <row r="16" spans="1:12" ht="18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 t="str">
        <f>IF(E16&lt;&gt;"",H16-(E16*IFERROR(AVERAGEIF('Purchase History'!B:B,D16,'Purchase History'!E:E),0)),"")</f>
        <v/>
      </c>
    </row>
    <row r="17" spans="1:12" ht="18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6" t="str">
        <f>IF(E17&lt;&gt;"",H17-(E17*IFERROR(AVERAGEIF('Purchase History'!B:B,D17,'Purchase History'!E:E),0)),"")</f>
        <v/>
      </c>
    </row>
    <row r="18" spans="1:12" ht="18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 t="str">
        <f>IF(E18&lt;&gt;"",H18-(E18*IFERROR(AVERAGEIF('Purchase History'!B:B,D18,'Purchase History'!E:E),0)),"")</f>
        <v/>
      </c>
    </row>
    <row r="19" spans="1:12" ht="18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6" t="str">
        <f>IF(E19&lt;&gt;"",H19-(E19*IFERROR(AVERAGEIF('Purchase History'!B:B,D19,'Purchase History'!E:E),0)),"")</f>
        <v/>
      </c>
    </row>
    <row r="20" spans="1:12" ht="18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 t="str">
        <f>IF(E20&lt;&gt;"",H20-(E20*IFERROR(AVERAGEIF('Purchase History'!B:B,D20,'Purchase History'!E:E),0)),"")</f>
        <v/>
      </c>
    </row>
    <row r="21" spans="1:12" ht="18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 t="str">
        <f>IF(E21&lt;&gt;"",H21-(E21*IFERROR(AVERAGEIF('Purchase History'!B:B,D21,'Purchase History'!E:E),0)),"")</f>
        <v/>
      </c>
    </row>
    <row r="22" spans="1:12" ht="18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8" t="str">
        <f>IF(E22&lt;&gt;"",H22-(E22*IFERROR(AVERAGEIF('Purchase History'!B:B,D22,'Purchase History'!E:E),0)),"")</f>
        <v/>
      </c>
    </row>
    <row r="23" spans="1:12" ht="18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6" t="str">
        <f>IF(E23&lt;&gt;"",H23-(E23*IFERROR(AVERAGEIF('Purchase History'!B:B,D23,'Purchase History'!E:E),0)),"")</f>
        <v/>
      </c>
    </row>
    <row r="24" spans="1:12" ht="18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 t="str">
        <f>IF(E24&lt;&gt;"",H24-(E24*IFERROR(AVERAGEIF('Purchase History'!B:B,D24,'Purchase History'!E:E),0)),"")</f>
        <v/>
      </c>
    </row>
    <row r="25" spans="1:12" ht="18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 t="str">
        <f>IF(E25&lt;&gt;"",H25-(E25*IFERROR(AVERAGEIF('Purchase History'!B:B,D25,'Purchase History'!E:E),0)),"")</f>
        <v/>
      </c>
    </row>
    <row r="26" spans="1:12" ht="18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 t="str">
        <f>IF(E26&lt;&gt;"",H26-(E26*IFERROR(AVERAGEIF('Purchase History'!B:B,D26,'Purchase History'!E:E),0)),"")</f>
        <v/>
      </c>
    </row>
    <row r="27" spans="1:12" ht="18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 t="str">
        <f>IF(E27&lt;&gt;"",H27-(E27*IFERROR(AVERAGEIF('Purchase History'!B:B,D27,'Purchase History'!E:E),0)),"")</f>
        <v/>
      </c>
    </row>
    <row r="28" spans="1:12" ht="18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 t="str">
        <f>IF(E28&lt;&gt;"",H28-(E28*IFERROR(AVERAGEIF('Purchase History'!B:B,D28,'Purchase History'!E:E),0)),"")</f>
        <v/>
      </c>
    </row>
    <row r="29" spans="1:12" ht="18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 t="str">
        <f>IF(E29&lt;&gt;"",H29-(E29*IFERROR(AVERAGEIF('Purchase History'!B:B,D29,'Purchase History'!E:E),0)),"")</f>
        <v/>
      </c>
    </row>
    <row r="30" spans="1:12" ht="18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8" t="str">
        <f>IF(E30&lt;&gt;"",H30-(E30*IFERROR(AVERAGEIF('Purchase History'!B:B,D30,'Purchase History'!E:E),0)),"")</f>
        <v/>
      </c>
    </row>
    <row r="31" spans="1:12" ht="18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6" t="str">
        <f>IF(E31&lt;&gt;"",H31-(E31*IFERROR(AVERAGEIF('Purchase History'!B:B,D31,'Purchase History'!E:E),0)),"")</f>
        <v/>
      </c>
    </row>
    <row r="32" spans="1:12" ht="18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8" t="str">
        <f>IF(E32&lt;&gt;"",H32-(E32*IFERROR(AVERAGEIF('Purchase History'!B:B,D32,'Purchase History'!E:E),0)),"")</f>
        <v/>
      </c>
    </row>
    <row r="33" spans="1:12" ht="18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 t="str">
        <f>IF(E33&lt;&gt;"",H33-(E33*IFERROR(AVERAGEIF('Purchase History'!B:B,D33,'Purchase History'!E:E),0)),"")</f>
        <v/>
      </c>
    </row>
    <row r="34" spans="1:12" ht="18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8" t="str">
        <f>IF(E34&lt;&gt;"",H34-(E34*IFERROR(AVERAGEIF('Purchase History'!B:B,D34,'Purchase History'!E:E),0)),"")</f>
        <v/>
      </c>
    </row>
    <row r="35" spans="1:12" ht="18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 t="str">
        <f>IF(E35&lt;&gt;"",H35-(E35*IFERROR(AVERAGEIF('Purchase History'!B:B,D35,'Purchase History'!E:E),0)),"")</f>
        <v/>
      </c>
    </row>
    <row r="36" spans="1:12" ht="18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8" t="str">
        <f>IF(E36&lt;&gt;"",H36-(E36*IFERROR(AVERAGEIF('Purchase History'!B:B,D36,'Purchase History'!E:E),0)),"")</f>
        <v/>
      </c>
    </row>
    <row r="37" spans="1:12" ht="18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 t="str">
        <f>IF(E37&lt;&gt;"",H37-(E37*IFERROR(AVERAGEIF('Purchase History'!B:B,D37,'Purchase History'!E:E),0)),"")</f>
        <v/>
      </c>
    </row>
    <row r="38" spans="1:12" ht="18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8" t="str">
        <f>IF(E38&lt;&gt;"",H38-(E38*IFERROR(AVERAGEIF('Purchase History'!B:B,D38,'Purchase History'!E:E),0)),"")</f>
        <v/>
      </c>
    </row>
    <row r="40" spans="1:12" ht="21.95" customHeight="1" x14ac:dyDescent="0.25">
      <c r="A40" s="40" t="s">
        <v>96</v>
      </c>
      <c r="B40" s="36"/>
      <c r="C40" s="36"/>
      <c r="D40" s="36"/>
    </row>
    <row r="41" spans="1:12" ht="20.100000000000001" customHeight="1" x14ac:dyDescent="0.25">
      <c r="A41" s="22" t="s">
        <v>97</v>
      </c>
      <c r="B41" s="23">
        <f>SUMIF(E6:E38,"&gt;0",H6:H38)</f>
        <v>0</v>
      </c>
    </row>
    <row r="42" spans="1:12" ht="20.100000000000001" customHeight="1" x14ac:dyDescent="0.25">
      <c r="A42" s="24" t="s">
        <v>98</v>
      </c>
      <c r="B42" s="25">
        <f>SUMIF(G6:G38,"&gt;0",G6:G38)+SUMIF(I6:I38,"&gt;0",I6:I38)</f>
        <v>0</v>
      </c>
    </row>
    <row r="43" spans="1:12" ht="20.100000000000001" customHeight="1" x14ac:dyDescent="0.25">
      <c r="A43" s="22" t="s">
        <v>99</v>
      </c>
      <c r="B43" s="23">
        <f>SUMPRODUCT((E6:E38&gt;0)*(E6:E38)*IFERROR(AVERAGEIF('Purchase History'!B:B,D6:D38,'Purchase History'!E:E),0))</f>
        <v>0</v>
      </c>
    </row>
    <row r="44" spans="1:12" ht="20.100000000000001" customHeight="1" x14ac:dyDescent="0.25">
      <c r="A44" s="24" t="s">
        <v>100</v>
      </c>
      <c r="B44" s="26">
        <f>B41-B42-B43</f>
        <v>0</v>
      </c>
    </row>
  </sheetData>
  <mergeCells count="4">
    <mergeCell ref="A40:D40"/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sqref="A1:K1"/>
    </sheetView>
  </sheetViews>
  <sheetFormatPr defaultRowHeight="15" x14ac:dyDescent="0.25"/>
  <cols>
    <col min="1" max="11" width="16" customWidth="1"/>
  </cols>
  <sheetData>
    <row r="1" spans="1:11" ht="27.95" customHeight="1" x14ac:dyDescent="0.25">
      <c r="A1" s="39" t="s">
        <v>101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0.100000000000001" customHeight="1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102</v>
      </c>
    </row>
    <row r="3" spans="1:11" ht="18" customHeight="1" x14ac:dyDescent="0.25">
      <c r="A3" s="35" t="s">
        <v>103</v>
      </c>
      <c r="B3" s="36"/>
      <c r="C3" s="36"/>
      <c r="D3" s="36"/>
      <c r="E3" s="36"/>
      <c r="F3" s="36"/>
      <c r="G3" s="36"/>
      <c r="H3" s="36"/>
      <c r="I3" s="36"/>
      <c r="J3" s="36"/>
      <c r="K3" s="36"/>
    </row>
  </sheetData>
  <mergeCells count="2">
    <mergeCell ref="A1:K1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"/>
  <sheetViews>
    <sheetView workbookViewId="0">
      <selection sqref="A1:M1"/>
    </sheetView>
  </sheetViews>
  <sheetFormatPr defaultRowHeight="15" x14ac:dyDescent="0.25"/>
  <cols>
    <col min="1" max="13" width="14" customWidth="1"/>
  </cols>
  <sheetData>
    <row r="1" spans="1:13" ht="27.95" customHeight="1" x14ac:dyDescent="0.25">
      <c r="A1" s="39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0.100000000000001" customHeight="1" x14ac:dyDescent="0.25">
      <c r="A2" s="1" t="s">
        <v>105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106</v>
      </c>
      <c r="G2" s="1" t="s">
        <v>107</v>
      </c>
      <c r="H2" s="1" t="s">
        <v>108</v>
      </c>
      <c r="I2" s="1" t="s">
        <v>109</v>
      </c>
      <c r="J2" s="1" t="s">
        <v>110</v>
      </c>
      <c r="K2" s="1" t="s">
        <v>111</v>
      </c>
      <c r="L2" s="1" t="s">
        <v>73</v>
      </c>
      <c r="M2" s="1" t="s">
        <v>112</v>
      </c>
    </row>
    <row r="3" spans="1:13" ht="18" customHeight="1" x14ac:dyDescent="0.25">
      <c r="A3" s="35" t="s">
        <v>113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sqref="A1:H1"/>
    </sheetView>
  </sheetViews>
  <sheetFormatPr defaultRowHeight="15" x14ac:dyDescent="0.25"/>
  <cols>
    <col min="1" max="8" width="20" customWidth="1"/>
  </cols>
  <sheetData>
    <row r="1" spans="1:8" ht="27.95" customHeight="1" x14ac:dyDescent="0.25">
      <c r="A1" s="39" t="s">
        <v>114</v>
      </c>
      <c r="B1" s="36"/>
      <c r="C1" s="36"/>
      <c r="D1" s="36"/>
      <c r="E1" s="36"/>
      <c r="F1" s="36"/>
      <c r="G1" s="36"/>
      <c r="H1" s="36"/>
    </row>
    <row r="2" spans="1:8" ht="20.100000000000001" customHeight="1" x14ac:dyDescent="0.25">
      <c r="A2" s="1" t="s">
        <v>115</v>
      </c>
      <c r="B2" s="1" t="s">
        <v>116</v>
      </c>
      <c r="C2" s="1" t="s">
        <v>117</v>
      </c>
      <c r="D2" s="1" t="s">
        <v>118</v>
      </c>
      <c r="E2" s="1" t="s">
        <v>105</v>
      </c>
      <c r="F2" s="1" t="s">
        <v>67</v>
      </c>
      <c r="G2" s="1" t="s">
        <v>119</v>
      </c>
      <c r="H2" s="1" t="s">
        <v>108</v>
      </c>
    </row>
    <row r="3" spans="1:8" ht="18" customHeight="1" x14ac:dyDescent="0.25">
      <c r="A3" s="35" t="s">
        <v>120</v>
      </c>
      <c r="B3" s="36"/>
      <c r="C3" s="36"/>
      <c r="D3" s="36"/>
      <c r="E3" s="36"/>
      <c r="F3" s="36"/>
      <c r="G3" s="36"/>
      <c r="H3" s="36"/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selection sqref="A1:B1"/>
    </sheetView>
  </sheetViews>
  <sheetFormatPr defaultRowHeight="15" x14ac:dyDescent="0.25"/>
  <cols>
    <col min="1" max="1" width="28" customWidth="1"/>
    <col min="2" max="2" width="70" customWidth="1"/>
  </cols>
  <sheetData>
    <row r="1" spans="1:2" ht="30" customHeight="1" x14ac:dyDescent="0.25">
      <c r="A1" s="41" t="s">
        <v>121</v>
      </c>
      <c r="B1" s="36"/>
    </row>
    <row r="2" spans="1:2" ht="8.1" customHeight="1" x14ac:dyDescent="0.25"/>
    <row r="3" spans="1:2" ht="39.950000000000003" customHeight="1" x14ac:dyDescent="0.25">
      <c r="A3" s="27" t="s">
        <v>122</v>
      </c>
      <c r="B3" s="28" t="s">
        <v>123</v>
      </c>
    </row>
    <row r="4" spans="1:2" ht="39.950000000000003" customHeight="1" x14ac:dyDescent="0.25">
      <c r="A4" s="27" t="s">
        <v>124</v>
      </c>
      <c r="B4" s="28" t="s">
        <v>125</v>
      </c>
    </row>
    <row r="5" spans="1:2" ht="39.950000000000003" customHeight="1" x14ac:dyDescent="0.25">
      <c r="A5" s="27" t="s">
        <v>126</v>
      </c>
      <c r="B5" s="28" t="s">
        <v>127</v>
      </c>
    </row>
    <row r="6" spans="1:2" ht="27.95" customHeight="1" x14ac:dyDescent="0.25">
      <c r="A6" s="29" t="s">
        <v>128</v>
      </c>
      <c r="B6" s="30" t="s">
        <v>129</v>
      </c>
    </row>
    <row r="7" spans="1:2" ht="39.950000000000003" customHeight="1" x14ac:dyDescent="0.25">
      <c r="A7" s="27" t="s">
        <v>130</v>
      </c>
      <c r="B7" s="28" t="s">
        <v>131</v>
      </c>
    </row>
    <row r="8" spans="1:2" ht="39.950000000000003" customHeight="1" x14ac:dyDescent="0.25">
      <c r="A8" s="27" t="s">
        <v>132</v>
      </c>
      <c r="B8" s="28" t="s">
        <v>133</v>
      </c>
    </row>
    <row r="9" spans="1:2" ht="39.950000000000003" customHeight="1" x14ac:dyDescent="0.25">
      <c r="A9" s="27" t="s">
        <v>134</v>
      </c>
      <c r="B9" s="28" t="s">
        <v>135</v>
      </c>
    </row>
    <row r="10" spans="1:2" ht="8.1" customHeight="1" x14ac:dyDescent="0.25"/>
    <row r="11" spans="1:2" ht="39.950000000000003" customHeight="1" x14ac:dyDescent="0.25">
      <c r="A11" s="31" t="s">
        <v>136</v>
      </c>
      <c r="B11" s="32" t="s">
        <v>137</v>
      </c>
    </row>
    <row r="12" spans="1:2" ht="39.950000000000003" customHeight="1" x14ac:dyDescent="0.25">
      <c r="A12" s="31" t="s">
        <v>138</v>
      </c>
      <c r="B12" s="32" t="s">
        <v>139</v>
      </c>
    </row>
    <row r="13" spans="1:2" ht="39.950000000000003" customHeight="1" x14ac:dyDescent="0.25">
      <c r="A13" s="31" t="s">
        <v>140</v>
      </c>
      <c r="B13" s="32" t="s">
        <v>141</v>
      </c>
    </row>
    <row r="14" spans="1:2" ht="27.95" customHeight="1" x14ac:dyDescent="0.25">
      <c r="A14" s="29" t="s">
        <v>142</v>
      </c>
      <c r="B14" s="30" t="s">
        <v>143</v>
      </c>
    </row>
    <row r="15" spans="1:2" ht="27.95" customHeight="1" x14ac:dyDescent="0.25">
      <c r="A15" s="33" t="s">
        <v>144</v>
      </c>
      <c r="B15" s="34" t="s">
        <v>145</v>
      </c>
    </row>
    <row r="16" spans="1:2" ht="27.95" customHeight="1" x14ac:dyDescent="0.25">
      <c r="A16" s="29" t="s">
        <v>146</v>
      </c>
      <c r="B16" s="30" t="s">
        <v>147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</vt:lpstr>
      <vt:lpstr>Purchase History</vt:lpstr>
      <vt:lpstr>P&amp;L</vt:lpstr>
      <vt:lpstr>Sales Log</vt:lpstr>
      <vt:lpstr>Buy-Trade Log</vt:lpstr>
      <vt:lpstr>Inventory Snapshot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Damstrom, Jason</cp:lastModifiedBy>
  <dcterms:created xsi:type="dcterms:W3CDTF">2026-03-29T09:55:54Z</dcterms:created>
  <dcterms:modified xsi:type="dcterms:W3CDTF">2026-03-31T20:38:40Z</dcterms:modified>
</cp:coreProperties>
</file>